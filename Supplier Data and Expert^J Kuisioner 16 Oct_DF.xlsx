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AHP Topsis\"/>
    </mc:Choice>
  </mc:AlternateContent>
  <xr:revisionPtr revIDLastSave="0" documentId="13_ncr:1_{F2B13B9E-761A-406D-A970-C919D2C45C15}" xr6:coauthVersionLast="47" xr6:coauthVersionMax="47" xr10:uidLastSave="{00000000-0000-0000-0000-000000000000}"/>
  <bookViews>
    <workbookView xWindow="-110" yWindow="-110" windowWidth="19420" windowHeight="10300" firstSheet="3" activeTab="6" xr2:uid="{0A15FC5E-E8D4-425B-8208-5B7AE02CB947}"/>
  </bookViews>
  <sheets>
    <sheet name="Kuesioner Expert 3" sheetId="8" r:id="rId1"/>
    <sheet name="Kuesioner Expert 2" sheetId="7" r:id="rId2"/>
    <sheet name="Kuesioner Expert 1" sheetId="4" r:id="rId3"/>
    <sheet name="Supplier Info" sheetId="1" r:id="rId4"/>
    <sheet name="AHP" sheetId="11" r:id="rId5"/>
    <sheet name="AHP edit" sheetId="9" r:id="rId6"/>
    <sheet name="AHP-Topsis" sheetId="10" r:id="rId7"/>
    <sheet name="Detail Expert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11" l="1"/>
  <c r="J131" i="11"/>
  <c r="W130" i="11"/>
  <c r="D129" i="11"/>
  <c r="C129" i="11"/>
  <c r="C128" i="11"/>
  <c r="J126" i="11"/>
  <c r="J132" i="11" s="1"/>
  <c r="I125" i="11"/>
  <c r="J124" i="11"/>
  <c r="D124" i="11"/>
  <c r="C124" i="11"/>
  <c r="J123" i="11"/>
  <c r="J130" i="11" s="1"/>
  <c r="J133" i="11" s="1"/>
  <c r="I123" i="11"/>
  <c r="H124" i="11" s="1"/>
  <c r="C123" i="11"/>
  <c r="D119" i="11"/>
  <c r="C119" i="11"/>
  <c r="C118" i="11"/>
  <c r="O111" i="11"/>
  <c r="D104" i="11"/>
  <c r="C104" i="11"/>
  <c r="C103" i="11"/>
  <c r="H100" i="11"/>
  <c r="J99" i="11"/>
  <c r="I100" i="11" s="1"/>
  <c r="D99" i="11"/>
  <c r="C99" i="11"/>
  <c r="J98" i="11"/>
  <c r="J101" i="11" s="1"/>
  <c r="I98" i="11"/>
  <c r="H99" i="11" s="1"/>
  <c r="C98" i="11"/>
  <c r="D94" i="11"/>
  <c r="C94" i="11"/>
  <c r="C93" i="11"/>
  <c r="O86" i="11"/>
  <c r="D79" i="11"/>
  <c r="E77" i="11"/>
  <c r="C79" i="11" s="1"/>
  <c r="D77" i="11"/>
  <c r="C78" i="11" s="1"/>
  <c r="J74" i="11"/>
  <c r="D74" i="11"/>
  <c r="C74" i="11"/>
  <c r="J73" i="11"/>
  <c r="C73" i="11"/>
  <c r="D69" i="11"/>
  <c r="C69" i="11"/>
  <c r="C68" i="11"/>
  <c r="E67" i="11"/>
  <c r="D67" i="11"/>
  <c r="I73" i="11" s="1"/>
  <c r="P61" i="11"/>
  <c r="D53" i="11"/>
  <c r="C53" i="11"/>
  <c r="F52" i="11"/>
  <c r="L47" i="11" s="1"/>
  <c r="D52" i="11"/>
  <c r="C52" i="11"/>
  <c r="C51" i="11"/>
  <c r="I47" i="11"/>
  <c r="E47" i="11"/>
  <c r="C47" i="11"/>
  <c r="K46" i="11"/>
  <c r="D46" i="11"/>
  <c r="C46" i="11"/>
  <c r="L45" i="11"/>
  <c r="K45" i="11"/>
  <c r="J45" i="11"/>
  <c r="F45" i="11"/>
  <c r="D47" i="11" s="1"/>
  <c r="C45" i="11"/>
  <c r="E41" i="11"/>
  <c r="D41" i="11"/>
  <c r="C41" i="11"/>
  <c r="D40" i="11"/>
  <c r="C40" i="11"/>
  <c r="C39" i="11"/>
  <c r="D38" i="11"/>
  <c r="P30" i="11"/>
  <c r="E22" i="11"/>
  <c r="D22" i="11"/>
  <c r="C22" i="11"/>
  <c r="D21" i="11"/>
  <c r="C21" i="11"/>
  <c r="D19" i="11"/>
  <c r="J14" i="11" s="1"/>
  <c r="L16" i="11"/>
  <c r="K17" i="11" s="1"/>
  <c r="E16" i="11"/>
  <c r="D16" i="11"/>
  <c r="C16" i="11"/>
  <c r="L15" i="11"/>
  <c r="J17" i="11" s="1"/>
  <c r="C15" i="11"/>
  <c r="L14" i="11"/>
  <c r="K14" i="11"/>
  <c r="E14" i="11"/>
  <c r="K15" i="11" s="1"/>
  <c r="D13" i="11"/>
  <c r="C14" i="11" s="1"/>
  <c r="E10" i="11"/>
  <c r="D10" i="11"/>
  <c r="C10" i="11"/>
  <c r="D9" i="11"/>
  <c r="C9" i="11"/>
  <c r="C8" i="11"/>
  <c r="K48" i="11" l="1"/>
  <c r="J16" i="11"/>
  <c r="K18" i="11"/>
  <c r="K24" i="11" s="1"/>
  <c r="I15" i="11"/>
  <c r="H74" i="11"/>
  <c r="I76" i="11"/>
  <c r="I81" i="11" s="1"/>
  <c r="J81" i="11"/>
  <c r="H101" i="11"/>
  <c r="H105" i="11" s="1"/>
  <c r="J107" i="11"/>
  <c r="J106" i="11"/>
  <c r="D15" i="11"/>
  <c r="L18" i="11"/>
  <c r="L25" i="11" s="1"/>
  <c r="I126" i="11"/>
  <c r="L24" i="11"/>
  <c r="E53" i="11"/>
  <c r="I17" i="11"/>
  <c r="C20" i="11"/>
  <c r="J47" i="11"/>
  <c r="I105" i="11"/>
  <c r="I46" i="11"/>
  <c r="H75" i="11"/>
  <c r="J105" i="11"/>
  <c r="I48" i="11"/>
  <c r="I75" i="11"/>
  <c r="I101" i="11"/>
  <c r="I106" i="11" s="1"/>
  <c r="L46" i="11"/>
  <c r="H125" i="11"/>
  <c r="I16" i="11"/>
  <c r="J76" i="11"/>
  <c r="J82" i="11" s="1"/>
  <c r="J49" i="11" l="1"/>
  <c r="J55" i="11" s="1"/>
  <c r="H132" i="11"/>
  <c r="K132" i="11" s="1"/>
  <c r="I80" i="11"/>
  <c r="J48" i="11"/>
  <c r="K23" i="11"/>
  <c r="I56" i="11"/>
  <c r="K22" i="11"/>
  <c r="L22" i="11"/>
  <c r="L26" i="11" s="1"/>
  <c r="I23" i="11"/>
  <c r="I18" i="11"/>
  <c r="I22" i="11" s="1"/>
  <c r="I107" i="11"/>
  <c r="K105" i="11"/>
  <c r="I108" i="11"/>
  <c r="H106" i="11"/>
  <c r="K106" i="11" s="1"/>
  <c r="H107" i="11"/>
  <c r="K107" i="11" s="1"/>
  <c r="L49" i="11"/>
  <c r="L54" i="11" s="1"/>
  <c r="H76" i="11"/>
  <c r="H80" i="11" s="1"/>
  <c r="H81" i="11"/>
  <c r="K81" i="11" s="1"/>
  <c r="K25" i="11"/>
  <c r="I82" i="11"/>
  <c r="L23" i="11"/>
  <c r="J108" i="11"/>
  <c r="J80" i="11"/>
  <c r="J83" i="11" s="1"/>
  <c r="I49" i="11"/>
  <c r="I54" i="11"/>
  <c r="K49" i="11"/>
  <c r="K56" i="11" s="1"/>
  <c r="I131" i="11"/>
  <c r="I130" i="11"/>
  <c r="H82" i="11"/>
  <c r="K82" i="11" s="1"/>
  <c r="I25" i="11"/>
  <c r="H126" i="11"/>
  <c r="J18" i="11"/>
  <c r="J24" i="11" s="1"/>
  <c r="I132" i="11"/>
  <c r="L105" i="11" l="1"/>
  <c r="M105" i="11" s="1"/>
  <c r="L106" i="11"/>
  <c r="M106" i="11" s="1"/>
  <c r="L107" i="11"/>
  <c r="M107" i="11" s="1"/>
  <c r="J54" i="11"/>
  <c r="J53" i="11"/>
  <c r="H108" i="11"/>
  <c r="K55" i="11"/>
  <c r="K53" i="11"/>
  <c r="K54" i="11"/>
  <c r="M54" i="11" s="1"/>
  <c r="J23" i="11"/>
  <c r="J22" i="11"/>
  <c r="J25" i="11"/>
  <c r="H130" i="11"/>
  <c r="H131" i="11"/>
  <c r="K131" i="11" s="1"/>
  <c r="I53" i="11"/>
  <c r="I55" i="11"/>
  <c r="H83" i="11"/>
  <c r="K80" i="11"/>
  <c r="M22" i="11"/>
  <c r="J56" i="11"/>
  <c r="M56" i="11" s="1"/>
  <c r="M25" i="11"/>
  <c r="L56" i="11"/>
  <c r="L55" i="11"/>
  <c r="L53" i="11"/>
  <c r="L57" i="11" s="1"/>
  <c r="M23" i="11"/>
  <c r="I83" i="11"/>
  <c r="I133" i="11"/>
  <c r="K26" i="11"/>
  <c r="I24" i="11"/>
  <c r="M24" i="11" s="1"/>
  <c r="K57" i="11" l="1"/>
  <c r="M55" i="11"/>
  <c r="H133" i="11"/>
  <c r="K130" i="11"/>
  <c r="N22" i="11"/>
  <c r="O22" i="11" s="1"/>
  <c r="N23" i="11"/>
  <c r="O23" i="11" s="1"/>
  <c r="N24" i="11"/>
  <c r="O24" i="11" s="1"/>
  <c r="N25" i="11"/>
  <c r="O25" i="11" s="1"/>
  <c r="J57" i="11"/>
  <c r="I26" i="11"/>
  <c r="J26" i="11"/>
  <c r="L81" i="11"/>
  <c r="M81" i="11" s="1"/>
  <c r="L82" i="11"/>
  <c r="M82" i="11" s="1"/>
  <c r="L80" i="11"/>
  <c r="M80" i="11" s="1"/>
  <c r="O108" i="11"/>
  <c r="O110" i="11" s="1"/>
  <c r="O112" i="11" s="1"/>
  <c r="P109" i="11" s="1"/>
  <c r="I57" i="11"/>
  <c r="M53" i="11"/>
  <c r="O83" i="11" l="1"/>
  <c r="O85" i="11" s="1"/>
  <c r="O87" i="11" s="1"/>
  <c r="P84" i="11" s="1"/>
  <c r="P27" i="11"/>
  <c r="P29" i="11" s="1"/>
  <c r="P31" i="11" s="1"/>
  <c r="Q28" i="11" s="1"/>
  <c r="L132" i="11"/>
  <c r="M132" i="11" s="1"/>
  <c r="L130" i="11"/>
  <c r="M130" i="11" s="1"/>
  <c r="O133" i="11" s="1"/>
  <c r="O135" i="11" s="1"/>
  <c r="O137" i="11" s="1"/>
  <c r="P134" i="11" s="1"/>
  <c r="L131" i="11"/>
  <c r="M131" i="11" s="1"/>
  <c r="N53" i="11"/>
  <c r="O53" i="11" s="1"/>
  <c r="N55" i="11"/>
  <c r="O55" i="11" s="1"/>
  <c r="N54" i="11"/>
  <c r="O54" i="11" s="1"/>
  <c r="N56" i="11"/>
  <c r="O56" i="11" s="1"/>
  <c r="P58" i="11" l="1"/>
  <c r="P60" i="11" s="1"/>
  <c r="P62" i="11" s="1"/>
  <c r="Q59" i="11" s="1"/>
  <c r="E103" i="9" l="1"/>
  <c r="D104" i="9" s="1"/>
  <c r="E93" i="9"/>
  <c r="D94" i="9" s="1"/>
  <c r="D19" i="9"/>
  <c r="D13" i="9"/>
  <c r="C20" i="9"/>
  <c r="J124" i="9"/>
  <c r="W130" i="9"/>
  <c r="Q19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F19" i="10"/>
  <c r="G19" i="10"/>
  <c r="H19" i="10"/>
  <c r="I19" i="10"/>
  <c r="J19" i="10"/>
  <c r="K19" i="10"/>
  <c r="L19" i="10"/>
  <c r="M19" i="10"/>
  <c r="N19" i="10"/>
  <c r="O19" i="10"/>
  <c r="P19" i="10"/>
  <c r="R19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F16" i="10"/>
  <c r="J123" i="9"/>
  <c r="I123" i="9"/>
  <c r="J99" i="9"/>
  <c r="J98" i="9"/>
  <c r="I98" i="9"/>
  <c r="H99" i="9" s="1"/>
  <c r="J74" i="9"/>
  <c r="I75" i="9" s="1"/>
  <c r="K46" i="9"/>
  <c r="J47" i="9" s="1"/>
  <c r="K45" i="9"/>
  <c r="I47" i="9" s="1"/>
  <c r="L45" i="9"/>
  <c r="D79" i="9"/>
  <c r="E77" i="9"/>
  <c r="C79" i="9" s="1"/>
  <c r="D77" i="9"/>
  <c r="C78" i="9" s="1"/>
  <c r="Y28" i="8"/>
  <c r="X28" i="8"/>
  <c r="D69" i="9"/>
  <c r="E67" i="9"/>
  <c r="C69" i="9" s="1"/>
  <c r="D67" i="9"/>
  <c r="Y28" i="4"/>
  <c r="W30" i="4" s="1"/>
  <c r="X28" i="4"/>
  <c r="W29" i="4" s="1"/>
  <c r="D53" i="9"/>
  <c r="C53" i="9"/>
  <c r="F52" i="9"/>
  <c r="L47" i="9" s="1"/>
  <c r="K48" i="9" s="1"/>
  <c r="D52" i="9"/>
  <c r="C52" i="9"/>
  <c r="C51" i="9"/>
  <c r="Z20" i="8"/>
  <c r="E47" i="9"/>
  <c r="C47" i="9"/>
  <c r="D46" i="9"/>
  <c r="C46" i="9"/>
  <c r="F45" i="9"/>
  <c r="D47" i="9" s="1"/>
  <c r="C45" i="9"/>
  <c r="Z19" i="7"/>
  <c r="X21" i="7" s="1"/>
  <c r="E41" i="9"/>
  <c r="D41" i="9"/>
  <c r="C41" i="9"/>
  <c r="D40" i="9"/>
  <c r="C40" i="9"/>
  <c r="D38" i="9"/>
  <c r="C39" i="9" s="1"/>
  <c r="X18" i="4"/>
  <c r="L15" i="9"/>
  <c r="J17" i="9" s="1"/>
  <c r="L16" i="9"/>
  <c r="K17" i="9" s="1"/>
  <c r="K14" i="9"/>
  <c r="L14" i="9"/>
  <c r="I17" i="9" s="1"/>
  <c r="C21" i="9"/>
  <c r="D21" i="9"/>
  <c r="C22" i="9"/>
  <c r="D22" i="9"/>
  <c r="E22" i="9"/>
  <c r="C8" i="9"/>
  <c r="E10" i="9"/>
  <c r="D10" i="9"/>
  <c r="C10" i="9"/>
  <c r="D9" i="9"/>
  <c r="C9" i="9"/>
  <c r="E16" i="9"/>
  <c r="D16" i="9"/>
  <c r="C16" i="9"/>
  <c r="C15" i="9"/>
  <c r="D15" i="9"/>
  <c r="Y9" i="7"/>
  <c r="X10" i="7" s="1"/>
  <c r="X8" i="7"/>
  <c r="W9" i="7" s="1"/>
  <c r="X8" i="8"/>
  <c r="W9" i="8" s="1"/>
  <c r="P30" i="9"/>
  <c r="O136" i="9"/>
  <c r="O111" i="9"/>
  <c r="O86" i="9"/>
  <c r="D129" i="9"/>
  <c r="C129" i="9"/>
  <c r="C128" i="9"/>
  <c r="D124" i="9"/>
  <c r="C124" i="9"/>
  <c r="C123" i="9"/>
  <c r="D119" i="9"/>
  <c r="C119" i="9"/>
  <c r="C118" i="9"/>
  <c r="C104" i="9"/>
  <c r="C103" i="9"/>
  <c r="D99" i="9"/>
  <c r="C99" i="9"/>
  <c r="C98" i="9"/>
  <c r="C94" i="9"/>
  <c r="C93" i="9"/>
  <c r="D74" i="9"/>
  <c r="C74" i="9"/>
  <c r="C73" i="9"/>
  <c r="P61" i="9"/>
  <c r="X44" i="8"/>
  <c r="W44" i="8"/>
  <c r="W43" i="8"/>
  <c r="X37" i="8"/>
  <c r="W37" i="8"/>
  <c r="W36" i="8"/>
  <c r="X30" i="8"/>
  <c r="W30" i="8"/>
  <c r="W29" i="8"/>
  <c r="Y21" i="8"/>
  <c r="X21" i="8"/>
  <c r="W21" i="8"/>
  <c r="X20" i="8"/>
  <c r="W20" i="8"/>
  <c r="W19" i="8"/>
  <c r="X44" i="7"/>
  <c r="W44" i="7"/>
  <c r="W43" i="7"/>
  <c r="X37" i="7"/>
  <c r="W37" i="7"/>
  <c r="W36" i="7"/>
  <c r="X30" i="7"/>
  <c r="W30" i="7"/>
  <c r="W29" i="7"/>
  <c r="Y21" i="7"/>
  <c r="W21" i="7"/>
  <c r="X20" i="7"/>
  <c r="W20" i="7"/>
  <c r="W19" i="7"/>
  <c r="X44" i="4"/>
  <c r="W44" i="4"/>
  <c r="W43" i="4"/>
  <c r="X37" i="4"/>
  <c r="W37" i="4"/>
  <c r="W36" i="4"/>
  <c r="X30" i="4"/>
  <c r="Y21" i="4"/>
  <c r="X21" i="4"/>
  <c r="X20" i="4"/>
  <c r="W21" i="4"/>
  <c r="W20" i="4"/>
  <c r="W19" i="4"/>
  <c r="Y11" i="4"/>
  <c r="X11" i="4"/>
  <c r="W11" i="4"/>
  <c r="X10" i="4"/>
  <c r="W10" i="4"/>
  <c r="W9" i="4"/>
  <c r="Y11" i="7"/>
  <c r="X11" i="7"/>
  <c r="W11" i="7"/>
  <c r="W10" i="7"/>
  <c r="Y11" i="8"/>
  <c r="X11" i="8"/>
  <c r="X10" i="8"/>
  <c r="W11" i="8"/>
  <c r="W10" i="8"/>
  <c r="M78" i="1"/>
  <c r="E44" i="1"/>
  <c r="Q29" i="10" l="1"/>
  <c r="Q26" i="10"/>
  <c r="Q27" i="10"/>
  <c r="Q28" i="10"/>
  <c r="Q25" i="10"/>
  <c r="F25" i="10"/>
  <c r="F26" i="10"/>
  <c r="F27" i="10"/>
  <c r="F28" i="10"/>
  <c r="F29" i="10"/>
  <c r="K29" i="10"/>
  <c r="K26" i="10"/>
  <c r="K28" i="10"/>
  <c r="K25" i="10"/>
  <c r="K27" i="10"/>
  <c r="R26" i="10"/>
  <c r="R27" i="10"/>
  <c r="R25" i="10"/>
  <c r="R28" i="10"/>
  <c r="R29" i="10"/>
  <c r="J26" i="10"/>
  <c r="J27" i="10"/>
  <c r="J28" i="10"/>
  <c r="J29" i="10"/>
  <c r="J25" i="10"/>
  <c r="I29" i="10"/>
  <c r="I25" i="10"/>
  <c r="I26" i="10"/>
  <c r="I28" i="10"/>
  <c r="I27" i="10"/>
  <c r="H26" i="10"/>
  <c r="H27" i="10"/>
  <c r="H28" i="10"/>
  <c r="H29" i="10"/>
  <c r="H25" i="10"/>
  <c r="O25" i="10"/>
  <c r="O29" i="10"/>
  <c r="O27" i="10"/>
  <c r="O26" i="10"/>
  <c r="O28" i="10"/>
  <c r="G29" i="10"/>
  <c r="G28" i="10"/>
  <c r="G26" i="10"/>
  <c r="G25" i="10"/>
  <c r="G27" i="10"/>
  <c r="N26" i="10"/>
  <c r="N27" i="10"/>
  <c r="N25" i="10"/>
  <c r="N28" i="10"/>
  <c r="N29" i="10"/>
  <c r="P26" i="10"/>
  <c r="P27" i="10"/>
  <c r="P28" i="10"/>
  <c r="P25" i="10"/>
  <c r="P29" i="10"/>
  <c r="M25" i="10"/>
  <c r="M27" i="10"/>
  <c r="M29" i="10"/>
  <c r="M26" i="10"/>
  <c r="M28" i="10"/>
  <c r="L26" i="10"/>
  <c r="L27" i="10"/>
  <c r="L25" i="10"/>
  <c r="L28" i="10"/>
  <c r="L29" i="10"/>
  <c r="J14" i="9"/>
  <c r="I15" i="9" s="1"/>
  <c r="I73" i="9"/>
  <c r="H74" i="9" s="1"/>
  <c r="L46" i="9"/>
  <c r="J48" i="9" s="1"/>
  <c r="J45" i="9"/>
  <c r="I46" i="9" s="1"/>
  <c r="K15" i="9"/>
  <c r="J16" i="9" s="1"/>
  <c r="C68" i="9"/>
  <c r="J73" i="9"/>
  <c r="J76" i="9" s="1"/>
  <c r="J82" i="9" s="1"/>
  <c r="E53" i="9"/>
  <c r="C14" i="9"/>
  <c r="J126" i="9"/>
  <c r="J130" i="9" s="1"/>
  <c r="H125" i="9"/>
  <c r="J101" i="9"/>
  <c r="I125" i="9"/>
  <c r="I126" i="9" s="1"/>
  <c r="H124" i="9"/>
  <c r="H100" i="9"/>
  <c r="H101" i="9" s="1"/>
  <c r="I100" i="9"/>
  <c r="K49" i="9"/>
  <c r="I16" i="9"/>
  <c r="I48" i="9"/>
  <c r="L18" i="9"/>
  <c r="L25" i="9" s="1"/>
  <c r="J49" i="9" l="1"/>
  <c r="I76" i="9"/>
  <c r="I81" i="9" s="1"/>
  <c r="K18" i="9"/>
  <c r="K23" i="9" s="1"/>
  <c r="H75" i="9"/>
  <c r="H76" i="9" s="1"/>
  <c r="H80" i="9" s="1"/>
  <c r="L49" i="9"/>
  <c r="L53" i="9" s="1"/>
  <c r="J18" i="9"/>
  <c r="J25" i="9" s="1"/>
  <c r="I18" i="9"/>
  <c r="I23" i="9" s="1"/>
  <c r="J131" i="9"/>
  <c r="J132" i="9"/>
  <c r="I132" i="9"/>
  <c r="I130" i="9"/>
  <c r="I131" i="9"/>
  <c r="J106" i="9"/>
  <c r="J107" i="9"/>
  <c r="J105" i="9"/>
  <c r="H105" i="9"/>
  <c r="H107" i="9"/>
  <c r="H106" i="9"/>
  <c r="J80" i="9"/>
  <c r="K54" i="9"/>
  <c r="K55" i="9"/>
  <c r="K56" i="9"/>
  <c r="K53" i="9"/>
  <c r="J53" i="9"/>
  <c r="J56" i="9"/>
  <c r="J54" i="9"/>
  <c r="J55" i="9"/>
  <c r="H126" i="9"/>
  <c r="I101" i="9"/>
  <c r="J81" i="9"/>
  <c r="I80" i="9"/>
  <c r="I82" i="9"/>
  <c r="I49" i="9"/>
  <c r="L23" i="9"/>
  <c r="L24" i="9"/>
  <c r="L22" i="9"/>
  <c r="K25" i="9" l="1"/>
  <c r="K24" i="9"/>
  <c r="K22" i="9"/>
  <c r="H81" i="9"/>
  <c r="K81" i="9" s="1"/>
  <c r="C9" i="10" s="1"/>
  <c r="H82" i="9"/>
  <c r="K82" i="9" s="1"/>
  <c r="C10" i="10" s="1"/>
  <c r="K80" i="9"/>
  <c r="C8" i="10" s="1"/>
  <c r="L56" i="9"/>
  <c r="L55" i="9"/>
  <c r="L54" i="9"/>
  <c r="J24" i="9"/>
  <c r="I25" i="9"/>
  <c r="J23" i="9"/>
  <c r="J22" i="9"/>
  <c r="I22" i="9"/>
  <c r="I24" i="9"/>
  <c r="I133" i="9"/>
  <c r="J133" i="9"/>
  <c r="H132" i="9"/>
  <c r="K132" i="9" s="1"/>
  <c r="C16" i="10" s="1"/>
  <c r="H130" i="9"/>
  <c r="K130" i="9" s="1"/>
  <c r="C14" i="10" s="1"/>
  <c r="H131" i="9"/>
  <c r="K131" i="9" s="1"/>
  <c r="C15" i="10" s="1"/>
  <c r="J108" i="9"/>
  <c r="I105" i="9"/>
  <c r="K105" i="9" s="1"/>
  <c r="C11" i="10" s="1"/>
  <c r="I106" i="9"/>
  <c r="K106" i="9" s="1"/>
  <c r="C12" i="10" s="1"/>
  <c r="I107" i="9"/>
  <c r="K107" i="9" s="1"/>
  <c r="C13" i="10" s="1"/>
  <c r="I56" i="9"/>
  <c r="I55" i="9"/>
  <c r="I53" i="9"/>
  <c r="I54" i="9"/>
  <c r="H108" i="9"/>
  <c r="J57" i="9"/>
  <c r="I83" i="9"/>
  <c r="K57" i="9"/>
  <c r="J83" i="9"/>
  <c r="L26" i="9"/>
  <c r="M25" i="9" l="1"/>
  <c r="K26" i="9"/>
  <c r="M37" i="10"/>
  <c r="M34" i="10"/>
  <c r="M35" i="10"/>
  <c r="M38" i="10"/>
  <c r="M36" i="10"/>
  <c r="K34" i="10"/>
  <c r="K36" i="10"/>
  <c r="K37" i="10"/>
  <c r="K38" i="10"/>
  <c r="K35" i="10"/>
  <c r="L36" i="10"/>
  <c r="L38" i="10"/>
  <c r="L34" i="10"/>
  <c r="L37" i="10"/>
  <c r="L35" i="10"/>
  <c r="P35" i="10"/>
  <c r="P38" i="10"/>
  <c r="P36" i="10"/>
  <c r="P37" i="10"/>
  <c r="P34" i="10"/>
  <c r="R36" i="10"/>
  <c r="R34" i="10"/>
  <c r="R37" i="10"/>
  <c r="R35" i="10"/>
  <c r="R38" i="10"/>
  <c r="Q37" i="10"/>
  <c r="Q38" i="10"/>
  <c r="Q34" i="10"/>
  <c r="Q35" i="10"/>
  <c r="Q36" i="10"/>
  <c r="J36" i="10"/>
  <c r="J35" i="10"/>
  <c r="J38" i="10"/>
  <c r="J37" i="10"/>
  <c r="J34" i="10"/>
  <c r="O35" i="10"/>
  <c r="O37" i="10"/>
  <c r="O36" i="10"/>
  <c r="O38" i="10"/>
  <c r="O34" i="10"/>
  <c r="N34" i="10"/>
  <c r="N36" i="10"/>
  <c r="N35" i="10"/>
  <c r="N37" i="10"/>
  <c r="N38" i="10"/>
  <c r="L82" i="9"/>
  <c r="L80" i="9"/>
  <c r="L81" i="9"/>
  <c r="M54" i="9"/>
  <c r="C5" i="10" s="1"/>
  <c r="L57" i="9"/>
  <c r="M55" i="9"/>
  <c r="C6" i="10" s="1"/>
  <c r="M56" i="9"/>
  <c r="C7" i="10" s="1"/>
  <c r="I26" i="9"/>
  <c r="M22" i="9"/>
  <c r="J26" i="9"/>
  <c r="M23" i="9"/>
  <c r="M24" i="9"/>
  <c r="L105" i="9"/>
  <c r="M105" i="9" s="1"/>
  <c r="L130" i="9"/>
  <c r="M130" i="9" s="1"/>
  <c r="L131" i="9"/>
  <c r="M131" i="9" s="1"/>
  <c r="L132" i="9"/>
  <c r="M132" i="9" s="1"/>
  <c r="H133" i="9"/>
  <c r="L107" i="9"/>
  <c r="M107" i="9" s="1"/>
  <c r="L106" i="9"/>
  <c r="M106" i="9" s="1"/>
  <c r="I108" i="9"/>
  <c r="H83" i="9"/>
  <c r="M53" i="9"/>
  <c r="C4" i="10" s="1"/>
  <c r="F34" i="10" s="1"/>
  <c r="I57" i="9"/>
  <c r="O40" i="10" l="1"/>
  <c r="O39" i="10"/>
  <c r="I37" i="10"/>
  <c r="I34" i="10"/>
  <c r="I36" i="10"/>
  <c r="I38" i="10"/>
  <c r="I35" i="10"/>
  <c r="R39" i="10"/>
  <c r="R40" i="10"/>
  <c r="K39" i="10"/>
  <c r="K40" i="10"/>
  <c r="H38" i="10"/>
  <c r="H36" i="10"/>
  <c r="H37" i="10"/>
  <c r="H34" i="10"/>
  <c r="H35" i="10"/>
  <c r="L39" i="10"/>
  <c r="L40" i="10"/>
  <c r="Q40" i="10"/>
  <c r="Q39" i="10"/>
  <c r="P39" i="10"/>
  <c r="P40" i="10"/>
  <c r="F36" i="10"/>
  <c r="S36" i="10" s="1"/>
  <c r="F37" i="10"/>
  <c r="F35" i="10"/>
  <c r="F38" i="10"/>
  <c r="G36" i="10"/>
  <c r="G35" i="10"/>
  <c r="G37" i="10"/>
  <c r="G34" i="10"/>
  <c r="G38" i="10"/>
  <c r="J39" i="10"/>
  <c r="J40" i="10"/>
  <c r="M40" i="10"/>
  <c r="M39" i="10"/>
  <c r="N39" i="10"/>
  <c r="N40" i="10"/>
  <c r="N23" i="9"/>
  <c r="O23" i="9" s="1"/>
  <c r="N25" i="9"/>
  <c r="O25" i="9" s="1"/>
  <c r="N24" i="9"/>
  <c r="O24" i="9" s="1"/>
  <c r="N22" i="9"/>
  <c r="O22" i="9" s="1"/>
  <c r="O133" i="9"/>
  <c r="O135" i="9" s="1"/>
  <c r="O137" i="9" s="1"/>
  <c r="P134" i="9" s="1"/>
  <c r="O108" i="9"/>
  <c r="M82" i="9"/>
  <c r="M81" i="9"/>
  <c r="M80" i="9"/>
  <c r="N53" i="9"/>
  <c r="O53" i="9" s="1"/>
  <c r="N54" i="9"/>
  <c r="O54" i="9" s="1"/>
  <c r="N56" i="9"/>
  <c r="O56" i="9" s="1"/>
  <c r="N55" i="9"/>
  <c r="O55" i="9" s="1"/>
  <c r="S37" i="10" l="1"/>
  <c r="G39" i="10"/>
  <c r="G40" i="10"/>
  <c r="H40" i="10"/>
  <c r="H39" i="10"/>
  <c r="S34" i="10"/>
  <c r="F40" i="10"/>
  <c r="F39" i="10"/>
  <c r="I40" i="10"/>
  <c r="I39" i="10"/>
  <c r="S38" i="10"/>
  <c r="S35" i="10"/>
  <c r="P27" i="9"/>
  <c r="P29" i="9" s="1"/>
  <c r="P31" i="9" s="1"/>
  <c r="Q28" i="9" s="1"/>
  <c r="O110" i="9"/>
  <c r="O112" i="9" s="1"/>
  <c r="P109" i="9" s="1"/>
  <c r="O83" i="9"/>
  <c r="O85" i="9" s="1"/>
  <c r="O87" i="9" s="1"/>
  <c r="P84" i="9" s="1"/>
  <c r="P58" i="9"/>
  <c r="P60" i="9" s="1"/>
  <c r="P62" i="9" s="1"/>
  <c r="Q59" i="9" s="1"/>
  <c r="S39" i="10" l="1"/>
  <c r="J48" i="10" s="1"/>
  <c r="S40" i="10"/>
  <c r="J47" i="10" l="1"/>
  <c r="J46" i="10"/>
  <c r="J45" i="10"/>
  <c r="J44" i="10"/>
  <c r="F45" i="10"/>
  <c r="F44" i="10"/>
  <c r="F46" i="10"/>
  <c r="F47" i="10"/>
  <c r="F48" i="10"/>
  <c r="M48" i="10" s="1"/>
  <c r="M46" i="10" l="1"/>
  <c r="M47" i="10"/>
  <c r="M44" i="10"/>
  <c r="M45" i="10"/>
</calcChain>
</file>

<file path=xl/sharedStrings.xml><?xml version="1.0" encoding="utf-8"?>
<sst xmlns="http://schemas.openxmlformats.org/spreadsheetml/2006/main" count="1168" uniqueCount="136">
  <si>
    <t>Role</t>
  </si>
  <si>
    <t>Expert 1</t>
  </si>
  <si>
    <t>Experts</t>
  </si>
  <si>
    <t>Expert 2</t>
  </si>
  <si>
    <t>Expert 3</t>
  </si>
  <si>
    <t>Drilling and Well Operation</t>
  </si>
  <si>
    <t>Contract, Procurement &amp; Logistic</t>
  </si>
  <si>
    <t>Community Development</t>
  </si>
  <si>
    <t>Communication Relation Community</t>
  </si>
  <si>
    <t>Alternatives Supplier</t>
  </si>
  <si>
    <t>S1</t>
  </si>
  <si>
    <t>S2</t>
  </si>
  <si>
    <t>S3</t>
  </si>
  <si>
    <t>S4</t>
  </si>
  <si>
    <t>S5</t>
  </si>
  <si>
    <t>Procurement and Supply Chain Management</t>
  </si>
  <si>
    <t>Pengalaman</t>
  </si>
  <si>
    <t>Divisi</t>
  </si>
  <si>
    <t>Posisi</t>
  </si>
  <si>
    <t>Delivery</t>
  </si>
  <si>
    <t>TKDN</t>
  </si>
  <si>
    <t>Kualitas</t>
  </si>
  <si>
    <t>Harga</t>
  </si>
  <si>
    <t>EKONOMI</t>
  </si>
  <si>
    <t>LINGKUNGAN</t>
  </si>
  <si>
    <t>SOSIAL</t>
  </si>
  <si>
    <t>ETIKA</t>
  </si>
  <si>
    <t>Eco-design</t>
  </si>
  <si>
    <t>Sistem K3</t>
  </si>
  <si>
    <t>CSR</t>
  </si>
  <si>
    <t>CoC</t>
  </si>
  <si>
    <t>CoI</t>
  </si>
  <si>
    <t>Sistem Man. Lingkungan</t>
  </si>
  <si>
    <t>DPMO</t>
  </si>
  <si>
    <t>USD</t>
  </si>
  <si>
    <t>Days</t>
  </si>
  <si>
    <t>%</t>
  </si>
  <si>
    <t>Lost Time
Injury Freq. 
Rate</t>
  </si>
  <si>
    <t>tambahkan kriteria flexibility</t>
  </si>
  <si>
    <t>No. of
Cases</t>
  </si>
  <si>
    <t>Transparansi Akuntansi Bisnis</t>
  </si>
  <si>
    <t xml:space="preserve">Disclosure
level </t>
  </si>
  <si>
    <t>Green Image</t>
  </si>
  <si>
    <t>Education &amp; Training</t>
  </si>
  <si>
    <t>No. of Training Sessions</t>
  </si>
  <si>
    <t>Drilling and Well Intervention (Subsurface)</t>
  </si>
  <si>
    <t>Kriteria</t>
  </si>
  <si>
    <t>Faktor Ekonomi</t>
  </si>
  <si>
    <t>Faktor Lingkungan</t>
  </si>
  <si>
    <t>Faktor Sosial</t>
  </si>
  <si>
    <t>Kriteria Nilai</t>
  </si>
  <si>
    <t>Faktor Etika</t>
  </si>
  <si>
    <t>Pemilihan Berdasarkan Kriteria</t>
  </si>
  <si>
    <t>Sub-kriteria</t>
  </si>
  <si>
    <t xml:space="preserve">Pengiriman (Delivery) </t>
  </si>
  <si>
    <t>TKDN
(Tingkat Komponen Dalam Negeri)</t>
  </si>
  <si>
    <t>Eco-Design</t>
  </si>
  <si>
    <t xml:space="preserve">Sistem Manajemen Lingkungan </t>
  </si>
  <si>
    <t>Pemilihan Berdasarkan Sub-kriteria pada Faktor Ekonomi</t>
  </si>
  <si>
    <t>Pemilihan Berdasarkan Sub-kriteria pada Faktor Lingkungan</t>
  </si>
  <si>
    <t>Pemilihan Berdasarkan Sub-kriteria pada Faktor Sosial</t>
  </si>
  <si>
    <t>Sistem Kesehatan dan Keselamatan Kerja</t>
  </si>
  <si>
    <t>Pemilihan Berdasarkan Sub-kriteria pada Faktor Etika</t>
  </si>
  <si>
    <t>Transparasi dalam akuntansi dan bisnis</t>
  </si>
  <si>
    <t>Sistem Manajemen Lingkungan</t>
  </si>
  <si>
    <t>x</t>
  </si>
  <si>
    <t>hubungan antara kriteria dan bobot kriteria</t>
  </si>
  <si>
    <t>&gt; 12 tahun</t>
  </si>
  <si>
    <t>&gt; 15 tahun</t>
  </si>
  <si>
    <t>Senior Analyst / Assistant Manager</t>
  </si>
  <si>
    <t>Senior Coordinator</t>
  </si>
  <si>
    <t>Saran perbaikan:</t>
  </si>
  <si>
    <t>Corporate Social Responsibility (CSR)</t>
  </si>
  <si>
    <t>Code of Conduct (CoC)</t>
  </si>
  <si>
    <t>Conflict of Interest (CoI)</t>
  </si>
  <si>
    <t>Detail Respondence</t>
  </si>
  <si>
    <t>tambahkan subkriteria Polution Control, MCU procedure and records, and Human Rights</t>
  </si>
  <si>
    <t>min</t>
  </si>
  <si>
    <t>max</t>
  </si>
  <si>
    <t>tambahkan expert di bagian HSE</t>
  </si>
  <si>
    <t>High-Low
(Rating 0-7)</t>
  </si>
  <si>
    <t>Expert 1 Kuesioner</t>
  </si>
  <si>
    <t>Ekonomi</t>
  </si>
  <si>
    <t>Lingkungan</t>
  </si>
  <si>
    <t>Etika</t>
  </si>
  <si>
    <t>Sosial</t>
  </si>
  <si>
    <t>Expert 2 Kuesioner</t>
  </si>
  <si>
    <t>Expert 3 Kuesioner</t>
  </si>
  <si>
    <t>Total</t>
  </si>
  <si>
    <t>Tabel Normalisasi</t>
  </si>
  <si>
    <t>Priority Vector</t>
  </si>
  <si>
    <t>Hasil Kali</t>
  </si>
  <si>
    <t>HK/PV</t>
  </si>
  <si>
    <t>Lambda</t>
  </si>
  <si>
    <t xml:space="preserve">Elemen </t>
  </si>
  <si>
    <t>CI</t>
  </si>
  <si>
    <t>Rasio Indeks</t>
  </si>
  <si>
    <t>Jumlah Elemen</t>
  </si>
  <si>
    <t>RI</t>
  </si>
  <si>
    <t>CR</t>
  </si>
  <si>
    <t>Note: Konsisten jika bernilai &lt;= 0,1</t>
  </si>
  <si>
    <t>Perhitungan AHP Pada Kriteria</t>
  </si>
  <si>
    <t>Perhitungan AHP Pada Tiap-tiap Subkriteria</t>
  </si>
  <si>
    <t>Subkriteria</t>
  </si>
  <si>
    <t>Pengiriman</t>
  </si>
  <si>
    <t>SML</t>
  </si>
  <si>
    <t>SKK</t>
  </si>
  <si>
    <t>ET</t>
  </si>
  <si>
    <t>Col</t>
  </si>
  <si>
    <t>TAB</t>
  </si>
  <si>
    <t>Tabel Nilai Sub Kriteria</t>
  </si>
  <si>
    <t>Sub Kriteria</t>
  </si>
  <si>
    <t>Ekonomi C01</t>
  </si>
  <si>
    <t>Lingkungan C02</t>
  </si>
  <si>
    <t>Etika C04</t>
  </si>
  <si>
    <t>Sosial C03</t>
  </si>
  <si>
    <t>Tabel Alternatif dan Sub Kriteria</t>
  </si>
  <si>
    <t>Alternatives</t>
  </si>
  <si>
    <t>Max</t>
  </si>
  <si>
    <t>Min</t>
  </si>
  <si>
    <t>Jumlah Baris</t>
  </si>
  <si>
    <t>Solusi Ideal +</t>
  </si>
  <si>
    <t>Solusi Ideal -</t>
  </si>
  <si>
    <t>Jarak Alternatif Solusi Ideal +</t>
  </si>
  <si>
    <t>S+</t>
  </si>
  <si>
    <t>Nilai Preferensi</t>
  </si>
  <si>
    <t>Preferensi</t>
  </si>
  <si>
    <t>Ranking</t>
  </si>
  <si>
    <t xml:space="preserve">Kesimpulan </t>
  </si>
  <si>
    <t>S-</t>
  </si>
  <si>
    <t>Kesimpulan</t>
  </si>
  <si>
    <t>Jarak Alternatif Solusi Ideal -</t>
  </si>
  <si>
    <t>Tabel Normalisasi Terbobot</t>
  </si>
  <si>
    <t>Tabel Alternatif dan Sub Kriteria Kuadrat</t>
  </si>
  <si>
    <t>Tabel Rata-rata Nilai Kriteria</t>
  </si>
  <si>
    <t>Dihitung menurut nilai Preferensi tertinggi, alternative S4 merupakan alternatif yang dapat menjadi perhatian dalam pemilihan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</si>
</sst>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.0000_);_(* \(#,##0.0000\);_(* &quot;-&quot;??_);_(@_)"/>
    <numFmt numFmtId="166" formatCode="_(* #,##0.00000_);_(* \(#,##0.00000\);_(* &quot;-&quot;??_);_(@_)"/>
    <numFmt numFmtId="167" formatCode="_(* #,##0_);_(* \(#,##0\);_(* &quot;-&quot;??_);_(@_)"/>
    <numFmt numFmtId="168" formatCode="_-* #,##0.0000_-;\-* #,##0.0000_-;_-* &quot;-&quot;????_-;_-@_-"/>
    <numFmt numFmtId="169" formatCode="_(* #,##0.000000000_);_(* \(#,##0.000000000\);_(* &quot;-&quot;??_);_(@_)"/>
    <numFmt numFmtId="170" formatCode="0.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5">
    <xf numFmtId="0" fontId="0" fillId="0" borderId="0" xfId="0"/>
    <xf numFmtId="10" fontId="0" fillId="0" borderId="0" xfId="0" applyNumberFormat="1"/>
    <xf numFmtId="9" fontId="0" fillId="0" borderId="0" xfId="0" applyNumberFormat="1"/>
    <xf numFmtId="164" fontId="0" fillId="0" borderId="0" xfId="1" applyFont="1"/>
    <xf numFmtId="0" fontId="2" fillId="0" borderId="0" xfId="0" applyFont="1"/>
    <xf numFmtId="10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0" fontId="0" fillId="0" borderId="7" xfId="0" applyBorder="1"/>
    <xf numFmtId="164" fontId="0" fillId="0" borderId="9" xfId="1" applyFon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167" fontId="0" fillId="0" borderId="6" xfId="1" applyNumberFormat="1" applyFont="1" applyBorder="1"/>
    <xf numFmtId="167" fontId="0" fillId="0" borderId="8" xfId="1" applyNumberFormat="1" applyFont="1" applyBorder="1"/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3" fillId="0" borderId="0" xfId="0" applyNumberFormat="1" applyFont="1"/>
    <xf numFmtId="164" fontId="3" fillId="0" borderId="0" xfId="1" applyFont="1" applyBorder="1"/>
    <xf numFmtId="0" fontId="3" fillId="0" borderId="0" xfId="0" applyFont="1"/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8" fontId="0" fillId="0" borderId="1" xfId="0" applyNumberFormat="1" applyBorder="1"/>
    <xf numFmtId="0" fontId="0" fillId="0" borderId="2" xfId="0" applyBorder="1"/>
    <xf numFmtId="0" fontId="0" fillId="0" borderId="28" xfId="0" applyBorder="1"/>
    <xf numFmtId="0" fontId="0" fillId="0" borderId="25" xfId="0" applyBorder="1"/>
    <xf numFmtId="0" fontId="0" fillId="0" borderId="29" xfId="0" applyBorder="1"/>
    <xf numFmtId="0" fontId="0" fillId="0" borderId="32" xfId="0" applyBorder="1"/>
    <xf numFmtId="9" fontId="0" fillId="0" borderId="1" xfId="0" applyNumberFormat="1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1" applyNumberFormat="1" applyFont="1" applyBorder="1"/>
    <xf numFmtId="169" fontId="0" fillId="0" borderId="6" xfId="1" applyNumberFormat="1" applyFont="1" applyBorder="1"/>
    <xf numFmtId="170" fontId="0" fillId="0" borderId="6" xfId="1" applyNumberFormat="1" applyFont="1" applyBorder="1"/>
    <xf numFmtId="169" fontId="0" fillId="0" borderId="0" xfId="1" applyNumberFormat="1" applyFont="1" applyBorder="1"/>
    <xf numFmtId="0" fontId="0" fillId="0" borderId="34" xfId="0" applyBorder="1" applyAlignment="1">
      <alignment horizontal="center"/>
    </xf>
    <xf numFmtId="169" fontId="0" fillId="0" borderId="15" xfId="1" applyNumberFormat="1" applyFont="1" applyBorder="1"/>
    <xf numFmtId="169" fontId="0" fillId="0" borderId="1" xfId="1" applyNumberFormat="1" applyFont="1" applyBorder="1"/>
    <xf numFmtId="0" fontId="0" fillId="0" borderId="1" xfId="1" applyNumberFormat="1" applyFont="1" applyBorder="1"/>
    <xf numFmtId="169" fontId="0" fillId="0" borderId="1" xfId="0" applyNumberFormat="1" applyBorder="1"/>
    <xf numFmtId="169" fontId="0" fillId="0" borderId="21" xfId="1" applyNumberFormat="1" applyFont="1" applyBorder="1"/>
    <xf numFmtId="169" fontId="0" fillId="0" borderId="22" xfId="1" applyNumberFormat="1" applyFont="1" applyBorder="1"/>
    <xf numFmtId="169" fontId="0" fillId="0" borderId="18" xfId="1" applyNumberFormat="1" applyFont="1" applyBorder="1"/>
    <xf numFmtId="0" fontId="0" fillId="0" borderId="23" xfId="0" applyBorder="1"/>
    <xf numFmtId="0" fontId="0" fillId="0" borderId="12" xfId="0" applyBorder="1" applyAlignment="1">
      <alignment horizontal="center"/>
    </xf>
    <xf numFmtId="0" fontId="0" fillId="4" borderId="1" xfId="0" applyFill="1" applyBorder="1"/>
    <xf numFmtId="12" fontId="0" fillId="0" borderId="1" xfId="0" applyNumberFormat="1" applyBorder="1"/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52142-C17B-AB36-09C9-065D1882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F5C1E-1CC0-F712-1E00-2BC924F3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6D87B-7740-C747-FFA9-7BC3CED0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260350</xdr:colOff>
      <xdr:row>11</xdr:row>
      <xdr:rowOff>25400</xdr:rowOff>
    </xdr:from>
    <xdr:to>
      <xdr:col>14</xdr:col>
      <xdr:colOff>709930</xdr:colOff>
      <xdr:row>26</xdr:row>
      <xdr:rowOff>130175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455BD-5D38-D2A9-D28D-99CFE1C8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6300" y="2686050"/>
          <a:ext cx="5072380" cy="28670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D3C-CE48-4635-9511-B8048881BD21}">
  <dimension ref="B5:Z45"/>
  <sheetViews>
    <sheetView topLeftCell="J37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8" t="s">
        <v>46</v>
      </c>
      <c r="C7" s="89" t="s">
        <v>50</v>
      </c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8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8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8"/>
      <c r="V8" t="s">
        <v>82</v>
      </c>
      <c r="W8">
        <v>1</v>
      </c>
      <c r="X8">
        <f>1/7</f>
        <v>0.14285714285714285</v>
      </c>
      <c r="Y8">
        <v>3</v>
      </c>
      <c r="Z8">
        <v>3</v>
      </c>
    </row>
    <row r="9" spans="2:26" x14ac:dyDescent="0.35">
      <c r="B9" s="36" t="s">
        <v>47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v>5</v>
      </c>
      <c r="Z9">
        <v>7</v>
      </c>
    </row>
    <row r="10" spans="2:26" x14ac:dyDescent="0.35">
      <c r="B10" s="36" t="s">
        <v>47</v>
      </c>
      <c r="C10" s="36"/>
      <c r="D10" s="36"/>
      <c r="E10" s="36"/>
      <c r="F10" s="36"/>
      <c r="G10" s="36"/>
      <c r="H10" s="36"/>
      <c r="I10" s="41" t="s">
        <v>65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0.33333333333333331</v>
      </c>
      <c r="X10">
        <f>1/Y9</f>
        <v>0.2</v>
      </c>
      <c r="Y10">
        <v>1</v>
      </c>
      <c r="Z10">
        <v>7</v>
      </c>
    </row>
    <row r="11" spans="2:26" x14ac:dyDescent="0.35">
      <c r="B11" s="36" t="s">
        <v>47</v>
      </c>
      <c r="C11" s="36"/>
      <c r="D11" s="36"/>
      <c r="E11" s="36"/>
      <c r="F11" s="36"/>
      <c r="G11" s="36"/>
      <c r="H11" s="36"/>
      <c r="I11" s="41" t="s">
        <v>65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0.33333333333333331</v>
      </c>
      <c r="X11">
        <f>1/Z9</f>
        <v>0.14285714285714285</v>
      </c>
      <c r="Y11">
        <f>1/Z10</f>
        <v>0.14285714285714285</v>
      </c>
      <c r="Z11">
        <v>1</v>
      </c>
    </row>
    <row r="12" spans="2:26" x14ac:dyDescent="0.35">
      <c r="B12" s="36" t="s">
        <v>48</v>
      </c>
      <c r="C12" s="36"/>
      <c r="D12" s="36"/>
      <c r="E12" s="41" t="s">
        <v>65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41" t="s">
        <v>65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8" t="s">
        <v>53</v>
      </c>
      <c r="C17" s="89" t="s">
        <v>50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8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8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8"/>
      <c r="V18" t="s">
        <v>21</v>
      </c>
      <c r="W18">
        <v>1</v>
      </c>
      <c r="X18">
        <v>5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36"/>
      <c r="F19" s="36"/>
      <c r="G19" s="41" t="s">
        <v>65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0.2</v>
      </c>
      <c r="X19">
        <v>1</v>
      </c>
      <c r="Y19">
        <v>3</v>
      </c>
      <c r="Z19">
        <v>3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0.33333333333333331</v>
      </c>
      <c r="Y20">
        <v>1</v>
      </c>
      <c r="Z20">
        <f>1/5</f>
        <v>0.2</v>
      </c>
    </row>
    <row r="21" spans="2:26" x14ac:dyDescent="0.35">
      <c r="B21" s="36" t="s">
        <v>21</v>
      </c>
      <c r="C21" s="36"/>
      <c r="D21" s="36"/>
      <c r="E21" s="36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0.33333333333333331</v>
      </c>
      <c r="Y21">
        <f>1/Z20</f>
        <v>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36"/>
      <c r="H22" s="36"/>
      <c r="I22" s="41" t="s">
        <v>65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36"/>
      <c r="F23" s="36"/>
      <c r="G23" s="36"/>
      <c r="H23" s="36"/>
      <c r="I23" s="41" t="s">
        <v>65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41" t="s">
        <v>65</v>
      </c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8" t="s">
        <v>53</v>
      </c>
      <c r="C27" s="89" t="s">
        <v>50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8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8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8"/>
      <c r="V28" t="s">
        <v>56</v>
      </c>
      <c r="W28">
        <v>1</v>
      </c>
      <c r="X28">
        <f>1/7</f>
        <v>0.14285714285714285</v>
      </c>
      <c r="Y28">
        <f>1/3</f>
        <v>0.33333333333333331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3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1" t="s">
        <v>65</v>
      </c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3</v>
      </c>
      <c r="X30">
        <f>1/Y29</f>
        <v>0.33333333333333331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41" t="s">
        <v>65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8" t="s">
        <v>53</v>
      </c>
      <c r="C34" s="89" t="s">
        <v>50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8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8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8"/>
      <c r="V35" t="s">
        <v>106</v>
      </c>
      <c r="W35">
        <v>1</v>
      </c>
      <c r="X35">
        <v>7</v>
      </c>
      <c r="Y35">
        <v>5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41" t="s">
        <v>65</v>
      </c>
      <c r="H37" s="36"/>
      <c r="I37" s="36"/>
      <c r="J37" s="36"/>
      <c r="K37" s="42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0.2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8" t="s">
        <v>53</v>
      </c>
      <c r="C41" s="89" t="s">
        <v>50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8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8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8"/>
      <c r="V42" t="s">
        <v>30</v>
      </c>
      <c r="W42">
        <v>1</v>
      </c>
      <c r="X42">
        <v>5</v>
      </c>
      <c r="Y42">
        <v>5</v>
      </c>
    </row>
    <row r="43" spans="2:25" x14ac:dyDescent="0.35">
      <c r="B43" s="37" t="s">
        <v>73</v>
      </c>
      <c r="C43" s="36"/>
      <c r="D43" s="36"/>
      <c r="E43" s="36"/>
      <c r="F43" s="36"/>
      <c r="G43" s="41" t="s">
        <v>65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0.2</v>
      </c>
      <c r="X43">
        <v>1</v>
      </c>
      <c r="Y43">
        <v>5</v>
      </c>
    </row>
    <row r="44" spans="2:25" ht="29" x14ac:dyDescent="0.35">
      <c r="B44" s="37" t="s">
        <v>73</v>
      </c>
      <c r="C44" s="36"/>
      <c r="D44" s="36"/>
      <c r="E44" s="36"/>
      <c r="F44" s="36"/>
      <c r="G44" s="41" t="s">
        <v>65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0.2</v>
      </c>
      <c r="X44">
        <f>1/Y43</f>
        <v>0.2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41" t="s">
        <v>65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7:B8"/>
    <mergeCell ref="C7:S7"/>
    <mergeCell ref="T7:T8"/>
    <mergeCell ref="B17:B18"/>
    <mergeCell ref="C17:S17"/>
    <mergeCell ref="T17:T18"/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D4BA-5332-4FA8-BCF4-840389A1EFDB}">
  <dimension ref="B5:Z45"/>
  <sheetViews>
    <sheetView topLeftCell="C37" zoomScale="115" zoomScaleNormal="115" workbookViewId="0">
      <selection activeCell="V17" sqref="V17:Z21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8" t="s">
        <v>46</v>
      </c>
      <c r="C7" s="89" t="s">
        <v>50</v>
      </c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8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8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8"/>
      <c r="V8" t="s">
        <v>82</v>
      </c>
      <c r="W8">
        <v>1</v>
      </c>
      <c r="X8">
        <f>1/7</f>
        <v>0.14285714285714285</v>
      </c>
      <c r="Y8">
        <v>1</v>
      </c>
      <c r="Z8">
        <v>5</v>
      </c>
    </row>
    <row r="9" spans="2:26" x14ac:dyDescent="0.35">
      <c r="B9" s="36" t="s">
        <v>47</v>
      </c>
      <c r="C9" s="36"/>
      <c r="D9" s="36"/>
      <c r="E9" s="42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f>1/3</f>
        <v>0.33333333333333331</v>
      </c>
      <c r="Z9">
        <v>1</v>
      </c>
    </row>
    <row r="10" spans="2:26" x14ac:dyDescent="0.35">
      <c r="B10" s="36" t="s">
        <v>47</v>
      </c>
      <c r="C10" s="36"/>
      <c r="D10" s="36"/>
      <c r="E10" s="42"/>
      <c r="F10" s="36"/>
      <c r="G10" s="41" t="s">
        <v>65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1</v>
      </c>
      <c r="X10">
        <f>1/Y9</f>
        <v>3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2"/>
      <c r="F11" s="36"/>
      <c r="G11" s="36"/>
      <c r="H11" s="36"/>
      <c r="I11" s="36"/>
      <c r="J11" s="36"/>
      <c r="K11" s="41" t="s">
        <v>65</v>
      </c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0.2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2"/>
      <c r="H13" s="36"/>
      <c r="I13" s="36"/>
      <c r="J13" s="36"/>
      <c r="K13" s="36"/>
      <c r="L13" s="36"/>
      <c r="M13" s="41" t="s">
        <v>65</v>
      </c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8" t="s">
        <v>53</v>
      </c>
      <c r="C17" s="89" t="s">
        <v>50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8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8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8"/>
      <c r="V18" t="s">
        <v>21</v>
      </c>
      <c r="W18">
        <v>1</v>
      </c>
      <c r="X18">
        <v>7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41" t="s">
        <v>65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0.14285714285714285</v>
      </c>
      <c r="X19">
        <v>1</v>
      </c>
      <c r="Y19">
        <v>1</v>
      </c>
      <c r="Z19">
        <f>1/3</f>
        <v>0.33333333333333331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42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1</v>
      </c>
      <c r="Y20">
        <v>1</v>
      </c>
      <c r="Z20">
        <v>3</v>
      </c>
    </row>
    <row r="21" spans="2:26" x14ac:dyDescent="0.35">
      <c r="B21" s="36" t="s">
        <v>21</v>
      </c>
      <c r="C21" s="36"/>
      <c r="D21" s="36"/>
      <c r="E21" s="42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3</v>
      </c>
      <c r="Y21">
        <f>1/Z20</f>
        <v>0.33333333333333331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2"/>
      <c r="H22" s="36"/>
      <c r="I22" s="36"/>
      <c r="J22" s="36"/>
      <c r="K22" s="41" t="s">
        <v>65</v>
      </c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2"/>
      <c r="F23" s="36"/>
      <c r="G23" s="36"/>
      <c r="H23" s="36"/>
      <c r="I23" s="36"/>
      <c r="J23" s="36"/>
      <c r="K23" s="36"/>
      <c r="L23" s="36"/>
      <c r="M23" s="41" t="s">
        <v>65</v>
      </c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2"/>
      <c r="F24" s="36"/>
      <c r="G24" s="36"/>
      <c r="H24" s="36"/>
      <c r="I24" s="41" t="s">
        <v>65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8" t="s">
        <v>53</v>
      </c>
      <c r="C27" s="89" t="s">
        <v>50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8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8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8"/>
      <c r="V28" t="s">
        <v>56</v>
      </c>
      <c r="W28">
        <v>1</v>
      </c>
      <c r="X28">
        <v>1</v>
      </c>
      <c r="Y28">
        <v>3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41" t="s">
        <v>65</v>
      </c>
      <c r="L29" s="36"/>
      <c r="M29" s="36"/>
      <c r="N29" s="36"/>
      <c r="O29" s="36"/>
      <c r="P29" s="36"/>
      <c r="Q29" s="42"/>
      <c r="R29" s="36"/>
      <c r="S29" s="36"/>
      <c r="T29" s="37" t="s">
        <v>64</v>
      </c>
      <c r="V29" t="s">
        <v>105</v>
      </c>
      <c r="W29">
        <f>1/X28</f>
        <v>1</v>
      </c>
      <c r="X29">
        <v>1</v>
      </c>
      <c r="Y29">
        <v>1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41" t="s">
        <v>65</v>
      </c>
      <c r="J30" s="36"/>
      <c r="K30" s="36"/>
      <c r="L30" s="36"/>
      <c r="M30" s="36"/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0.33333333333333331</v>
      </c>
      <c r="X30">
        <f>1/Y29</f>
        <v>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36"/>
      <c r="J31" s="36"/>
      <c r="K31" s="41" t="s">
        <v>65</v>
      </c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8" t="s">
        <v>53</v>
      </c>
      <c r="C34" s="89" t="s">
        <v>50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8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8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8"/>
      <c r="V35" t="s">
        <v>106</v>
      </c>
      <c r="W35">
        <v>1</v>
      </c>
      <c r="X35">
        <v>7</v>
      </c>
      <c r="Y35">
        <v>1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36"/>
      <c r="H37" s="36"/>
      <c r="I37" s="36"/>
      <c r="J37" s="36"/>
      <c r="K37" s="41" t="s">
        <v>65</v>
      </c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1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8" t="s">
        <v>53</v>
      </c>
      <c r="C41" s="89" t="s">
        <v>50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8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8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8"/>
      <c r="V42" t="s">
        <v>30</v>
      </c>
      <c r="W42">
        <v>1</v>
      </c>
      <c r="X42">
        <v>9</v>
      </c>
      <c r="Y42">
        <v>1</v>
      </c>
    </row>
    <row r="43" spans="2:25" x14ac:dyDescent="0.35">
      <c r="B43" s="37" t="s">
        <v>73</v>
      </c>
      <c r="C43" s="41" t="s">
        <v>65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0.1111111111111111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7:B8"/>
    <mergeCell ref="C7:S7"/>
    <mergeCell ref="T7:T8"/>
    <mergeCell ref="B17:B18"/>
    <mergeCell ref="C17:S17"/>
    <mergeCell ref="T17:T18"/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78F4-D1A0-454B-A808-565CB75ABDD0}">
  <dimension ref="B5:Z45"/>
  <sheetViews>
    <sheetView topLeftCell="E32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  <col min="25" max="25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8" t="s">
        <v>46</v>
      </c>
      <c r="C7" s="89" t="s">
        <v>50</v>
      </c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8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8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8"/>
      <c r="V8" t="s">
        <v>82</v>
      </c>
      <c r="W8">
        <v>1</v>
      </c>
      <c r="X8">
        <v>7</v>
      </c>
      <c r="Y8">
        <v>7</v>
      </c>
      <c r="Z8">
        <v>7</v>
      </c>
    </row>
    <row r="9" spans="2:26" x14ac:dyDescent="0.35">
      <c r="B9" s="36" t="s">
        <v>47</v>
      </c>
      <c r="C9" s="36"/>
      <c r="D9" s="36"/>
      <c r="E9" s="41" t="s">
        <v>65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48</v>
      </c>
      <c r="V9" t="s">
        <v>83</v>
      </c>
      <c r="W9">
        <f>1/X8</f>
        <v>0.14285714285714285</v>
      </c>
      <c r="X9">
        <v>1</v>
      </c>
      <c r="Y9">
        <v>5</v>
      </c>
      <c r="Z9">
        <v>1</v>
      </c>
    </row>
    <row r="10" spans="2:26" x14ac:dyDescent="0.35">
      <c r="B10" s="36" t="s">
        <v>47</v>
      </c>
      <c r="C10" s="36"/>
      <c r="D10" s="36"/>
      <c r="E10" s="41" t="s">
        <v>65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0.14285714285714285</v>
      </c>
      <c r="X10">
        <f>1/Y9</f>
        <v>0.2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1" t="s">
        <v>65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0.14285714285714285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8" t="s">
        <v>53</v>
      </c>
      <c r="C17" s="89" t="s">
        <v>50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8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8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8"/>
      <c r="V18" t="s">
        <v>21</v>
      </c>
      <c r="W18">
        <v>1</v>
      </c>
      <c r="X18">
        <f>1/9</f>
        <v>0.1111111111111111</v>
      </c>
      <c r="Y18">
        <v>1</v>
      </c>
      <c r="Z18">
        <v>7</v>
      </c>
    </row>
    <row r="19" spans="2:26" x14ac:dyDescent="0.35">
      <c r="B19" s="36" t="s">
        <v>21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1" t="s">
        <v>65</v>
      </c>
      <c r="T19" s="37" t="s">
        <v>22</v>
      </c>
      <c r="V19" t="s">
        <v>22</v>
      </c>
      <c r="W19">
        <f>1/X18</f>
        <v>9</v>
      </c>
      <c r="X19">
        <v>1</v>
      </c>
      <c r="Y19">
        <v>5</v>
      </c>
      <c r="Z19">
        <v>7</v>
      </c>
    </row>
    <row r="20" spans="2:26" x14ac:dyDescent="0.35">
      <c r="B20" s="36" t="s">
        <v>21</v>
      </c>
      <c r="C20" s="36"/>
      <c r="D20" s="36"/>
      <c r="E20" s="36"/>
      <c r="F20" s="36"/>
      <c r="G20" s="36"/>
      <c r="H20" s="36"/>
      <c r="I20" s="36"/>
      <c r="J20" s="36"/>
      <c r="K20" s="41" t="s">
        <v>65</v>
      </c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1</v>
      </c>
      <c r="X20">
        <f>1/Y19</f>
        <v>0.2</v>
      </c>
      <c r="Y20">
        <v>1</v>
      </c>
      <c r="Z20">
        <v>7</v>
      </c>
    </row>
    <row r="21" spans="2:26" x14ac:dyDescent="0.35">
      <c r="B21" s="36" t="s">
        <v>21</v>
      </c>
      <c r="C21" s="36"/>
      <c r="D21" s="36"/>
      <c r="E21" s="41" t="s">
        <v>65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0.14285714285714285</v>
      </c>
      <c r="X21">
        <f>1/Z19</f>
        <v>0.14285714285714285</v>
      </c>
      <c r="Y21">
        <f>1/Z20</f>
        <v>0.14285714285714285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1" t="s">
        <v>65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1" t="s">
        <v>65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1" t="s">
        <v>65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8" t="s">
        <v>53</v>
      </c>
      <c r="C27" s="89" t="s">
        <v>50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8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8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8"/>
      <c r="V28" t="s">
        <v>56</v>
      </c>
      <c r="W28">
        <v>1</v>
      </c>
      <c r="X28">
        <f>1/7</f>
        <v>0.14285714285714285</v>
      </c>
      <c r="Y28">
        <f>1/7</f>
        <v>0.14285714285714285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7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41" t="s">
        <v>65</v>
      </c>
      <c r="R30" s="36"/>
      <c r="S30" s="36"/>
      <c r="T30" s="37" t="s">
        <v>42</v>
      </c>
      <c r="V30" t="s">
        <v>42</v>
      </c>
      <c r="W30">
        <f>1/Y28</f>
        <v>7</v>
      </c>
      <c r="X30">
        <f>1/Y29</f>
        <v>0.14285714285714285</v>
      </c>
      <c r="Y30">
        <v>1</v>
      </c>
    </row>
    <row r="31" spans="2:26" ht="29" x14ac:dyDescent="0.35">
      <c r="B31" s="37" t="s">
        <v>57</v>
      </c>
      <c r="C31" s="36"/>
      <c r="D31" s="36"/>
      <c r="E31" s="41" t="s">
        <v>65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8" t="s">
        <v>53</v>
      </c>
      <c r="C34" s="89" t="s">
        <v>50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8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8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8"/>
      <c r="V35" t="s">
        <v>106</v>
      </c>
      <c r="W35">
        <v>1</v>
      </c>
      <c r="X35">
        <v>7</v>
      </c>
      <c r="Y35">
        <v>7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1</v>
      </c>
    </row>
    <row r="37" spans="2:25" ht="29" x14ac:dyDescent="0.35">
      <c r="B37" s="37" t="s">
        <v>61</v>
      </c>
      <c r="C37" s="36"/>
      <c r="D37" s="36"/>
      <c r="E37" s="41" t="s">
        <v>65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0.14285714285714285</v>
      </c>
      <c r="X37">
        <f>1/Y36</f>
        <v>1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36"/>
      <c r="H38" s="36"/>
      <c r="I38" s="36"/>
      <c r="J38" s="36"/>
      <c r="K38" s="41" t="s">
        <v>65</v>
      </c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8" t="s">
        <v>53</v>
      </c>
      <c r="C41" s="89" t="s">
        <v>50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8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8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8"/>
      <c r="V42" t="s">
        <v>30</v>
      </c>
      <c r="W42">
        <v>1</v>
      </c>
      <c r="X42">
        <v>1</v>
      </c>
      <c r="Y42">
        <v>1</v>
      </c>
    </row>
    <row r="43" spans="2:25" x14ac:dyDescent="0.35">
      <c r="B43" s="37" t="s">
        <v>73</v>
      </c>
      <c r="C43" s="36"/>
      <c r="D43" s="36"/>
      <c r="E43" s="36"/>
      <c r="F43" s="36"/>
      <c r="G43" s="36"/>
      <c r="H43" s="36"/>
      <c r="I43" s="36"/>
      <c r="J43" s="36"/>
      <c r="K43" s="41" t="s">
        <v>65</v>
      </c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34:B35"/>
    <mergeCell ref="C34:S34"/>
    <mergeCell ref="T34:T35"/>
    <mergeCell ref="B41:B42"/>
    <mergeCell ref="C41:S41"/>
    <mergeCell ref="T41:T42"/>
    <mergeCell ref="B27:B28"/>
    <mergeCell ref="C27:S27"/>
    <mergeCell ref="T27:T28"/>
    <mergeCell ref="B7:B8"/>
    <mergeCell ref="C7:S7"/>
    <mergeCell ref="T7:T8"/>
    <mergeCell ref="B17:B18"/>
    <mergeCell ref="C17:S17"/>
    <mergeCell ref="T17:T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978B-738F-4E1E-874B-8FB5823AF393}">
  <dimension ref="B1:O78"/>
  <sheetViews>
    <sheetView topLeftCell="A10" workbookViewId="0">
      <selection activeCell="G3" sqref="G3:O3"/>
    </sheetView>
  </sheetViews>
  <sheetFormatPr defaultRowHeight="14.5" x14ac:dyDescent="0.35"/>
  <cols>
    <col min="2" max="2" width="11.90625" customWidth="1"/>
    <col min="3" max="3" width="8.453125" customWidth="1"/>
    <col min="4" max="4" width="13.7265625" customWidth="1"/>
    <col min="5" max="5" width="8.08984375" customWidth="1"/>
    <col min="6" max="6" width="8.81640625" bestFit="1" customWidth="1"/>
    <col min="7" max="7" width="10.81640625" customWidth="1"/>
    <col min="8" max="8" width="12.453125" customWidth="1"/>
    <col min="9" max="9" width="10.81640625" customWidth="1"/>
    <col min="10" max="10" width="12.36328125" bestFit="1" customWidth="1"/>
    <col min="11" max="11" width="11.08984375" customWidth="1"/>
    <col min="12" max="12" width="12.7265625" customWidth="1"/>
    <col min="13" max="13" width="10.90625" customWidth="1"/>
    <col min="14" max="14" width="8.26953125" customWidth="1"/>
    <col min="15" max="15" width="14.90625" customWidth="1"/>
  </cols>
  <sheetData>
    <row r="1" spans="2:15" ht="15" thickBot="1" x14ac:dyDescent="0.4"/>
    <row r="2" spans="2:15" ht="18" customHeight="1" x14ac:dyDescent="0.35">
      <c r="B2" s="94" t="s">
        <v>9</v>
      </c>
      <c r="C2" s="90" t="s">
        <v>23</v>
      </c>
      <c r="D2" s="91"/>
      <c r="E2" s="91"/>
      <c r="F2" s="93"/>
      <c r="G2" s="90" t="s">
        <v>24</v>
      </c>
      <c r="H2" s="91"/>
      <c r="I2" s="92"/>
      <c r="J2" s="90" t="s">
        <v>25</v>
      </c>
      <c r="K2" s="91"/>
      <c r="L2" s="92"/>
      <c r="M2" s="90" t="s">
        <v>26</v>
      </c>
      <c r="N2" s="91"/>
      <c r="O2" s="92"/>
    </row>
    <row r="3" spans="2:15" ht="33.5" customHeight="1" x14ac:dyDescent="0.35">
      <c r="B3" s="95"/>
      <c r="C3" s="23" t="s">
        <v>21</v>
      </c>
      <c r="D3" s="24" t="s">
        <v>22</v>
      </c>
      <c r="E3" s="24" t="s">
        <v>19</v>
      </c>
      <c r="F3" s="31" t="s">
        <v>20</v>
      </c>
      <c r="G3" s="23" t="s">
        <v>27</v>
      </c>
      <c r="H3" s="24" t="s">
        <v>32</v>
      </c>
      <c r="I3" s="25" t="s">
        <v>42</v>
      </c>
      <c r="J3" s="46" t="s">
        <v>28</v>
      </c>
      <c r="K3" s="24" t="s">
        <v>29</v>
      </c>
      <c r="L3" s="25" t="s">
        <v>43</v>
      </c>
      <c r="M3" s="23" t="s">
        <v>30</v>
      </c>
      <c r="N3" s="24" t="s">
        <v>31</v>
      </c>
      <c r="O3" s="25" t="s">
        <v>40</v>
      </c>
    </row>
    <row r="4" spans="2:15" ht="43.5" x14ac:dyDescent="0.35">
      <c r="B4" s="95"/>
      <c r="C4" s="26" t="s">
        <v>33</v>
      </c>
      <c r="D4" s="27" t="s">
        <v>34</v>
      </c>
      <c r="E4" s="27" t="s">
        <v>35</v>
      </c>
      <c r="F4" s="32" t="s">
        <v>36</v>
      </c>
      <c r="G4" s="23" t="s">
        <v>80</v>
      </c>
      <c r="H4" s="24" t="s">
        <v>80</v>
      </c>
      <c r="I4" s="30" t="s">
        <v>80</v>
      </c>
      <c r="J4" s="47" t="s">
        <v>37</v>
      </c>
      <c r="K4" s="24" t="s">
        <v>80</v>
      </c>
      <c r="L4" s="30" t="s">
        <v>44</v>
      </c>
      <c r="M4" s="28" t="s">
        <v>80</v>
      </c>
      <c r="N4" s="29" t="s">
        <v>39</v>
      </c>
      <c r="O4" s="30" t="s">
        <v>41</v>
      </c>
    </row>
    <row r="5" spans="2:15" x14ac:dyDescent="0.35">
      <c r="B5" s="21" t="s">
        <v>10</v>
      </c>
      <c r="C5" s="39">
        <v>200</v>
      </c>
      <c r="D5" s="14">
        <v>4500000</v>
      </c>
      <c r="E5" s="13">
        <v>180</v>
      </c>
      <c r="F5" s="33">
        <v>35</v>
      </c>
      <c r="G5" s="19">
        <v>7</v>
      </c>
      <c r="H5" s="13">
        <v>3</v>
      </c>
      <c r="I5" s="15">
        <v>7</v>
      </c>
      <c r="J5" s="19">
        <v>2</v>
      </c>
      <c r="K5" s="13">
        <v>5</v>
      </c>
      <c r="L5" s="15">
        <v>8</v>
      </c>
      <c r="M5" s="19">
        <v>6</v>
      </c>
      <c r="N5" s="13">
        <v>2</v>
      </c>
      <c r="O5" s="15">
        <v>1</v>
      </c>
    </row>
    <row r="6" spans="2:15" x14ac:dyDescent="0.35">
      <c r="B6" s="21" t="s">
        <v>11</v>
      </c>
      <c r="C6" s="39">
        <v>240</v>
      </c>
      <c r="D6" s="14">
        <v>4200000</v>
      </c>
      <c r="E6" s="13">
        <v>200</v>
      </c>
      <c r="F6" s="33">
        <v>40</v>
      </c>
      <c r="G6" s="19">
        <v>3</v>
      </c>
      <c r="H6" s="13">
        <v>5</v>
      </c>
      <c r="I6" s="15">
        <v>5</v>
      </c>
      <c r="J6" s="19">
        <v>1</v>
      </c>
      <c r="K6" s="13">
        <v>3</v>
      </c>
      <c r="L6" s="15">
        <v>5</v>
      </c>
      <c r="M6" s="19">
        <v>5</v>
      </c>
      <c r="N6" s="13">
        <v>5</v>
      </c>
      <c r="O6" s="15">
        <v>3</v>
      </c>
    </row>
    <row r="7" spans="2:15" x14ac:dyDescent="0.35">
      <c r="B7" s="21" t="s">
        <v>12</v>
      </c>
      <c r="C7" s="39">
        <v>160</v>
      </c>
      <c r="D7" s="14">
        <v>4800000</v>
      </c>
      <c r="E7" s="13">
        <v>200</v>
      </c>
      <c r="F7" s="33">
        <v>38</v>
      </c>
      <c r="G7" s="19">
        <v>5</v>
      </c>
      <c r="H7" s="13">
        <v>5</v>
      </c>
      <c r="I7" s="15">
        <v>6</v>
      </c>
      <c r="J7" s="19">
        <v>1</v>
      </c>
      <c r="K7" s="13">
        <v>7</v>
      </c>
      <c r="L7" s="15">
        <v>5</v>
      </c>
      <c r="M7" s="19">
        <v>7</v>
      </c>
      <c r="N7" s="13">
        <v>3</v>
      </c>
      <c r="O7" s="15">
        <v>5</v>
      </c>
    </row>
    <row r="8" spans="2:15" x14ac:dyDescent="0.35">
      <c r="B8" s="21" t="s">
        <v>13</v>
      </c>
      <c r="C8" s="39">
        <v>220</v>
      </c>
      <c r="D8" s="14">
        <v>4300000</v>
      </c>
      <c r="E8" s="13">
        <v>220</v>
      </c>
      <c r="F8" s="33">
        <v>45</v>
      </c>
      <c r="G8" s="19">
        <v>5</v>
      </c>
      <c r="H8" s="13">
        <v>7</v>
      </c>
      <c r="I8" s="15">
        <v>6</v>
      </c>
      <c r="J8" s="19">
        <v>2</v>
      </c>
      <c r="K8" s="13">
        <v>5</v>
      </c>
      <c r="L8" s="15">
        <v>7</v>
      </c>
      <c r="M8" s="19">
        <v>7</v>
      </c>
      <c r="N8" s="13">
        <v>0</v>
      </c>
      <c r="O8" s="15">
        <v>1</v>
      </c>
    </row>
    <row r="9" spans="2:15" ht="15" thickBot="1" x14ac:dyDescent="0.4">
      <c r="B9" s="22" t="s">
        <v>14</v>
      </c>
      <c r="C9" s="40">
        <v>180</v>
      </c>
      <c r="D9" s="16">
        <v>4600000</v>
      </c>
      <c r="E9" s="17">
        <v>220</v>
      </c>
      <c r="F9" s="34">
        <v>37</v>
      </c>
      <c r="G9" s="20">
        <v>5</v>
      </c>
      <c r="H9" s="17">
        <v>7</v>
      </c>
      <c r="I9" s="18">
        <v>5</v>
      </c>
      <c r="J9" s="20">
        <v>1</v>
      </c>
      <c r="K9" s="17">
        <v>7</v>
      </c>
      <c r="L9" s="18">
        <v>6</v>
      </c>
      <c r="M9" s="20">
        <v>5</v>
      </c>
      <c r="N9" s="17">
        <v>2</v>
      </c>
      <c r="O9" s="18">
        <v>3</v>
      </c>
    </row>
    <row r="10" spans="2:15" x14ac:dyDescent="0.35">
      <c r="B10" s="7"/>
      <c r="C10" s="43" t="s">
        <v>77</v>
      </c>
      <c r="D10" s="44" t="s">
        <v>77</v>
      </c>
      <c r="E10" s="45" t="s">
        <v>77</v>
      </c>
      <c r="F10" t="s">
        <v>78</v>
      </c>
      <c r="G10" t="s">
        <v>78</v>
      </c>
      <c r="H10" t="s">
        <v>78</v>
      </c>
      <c r="I10" t="s">
        <v>78</v>
      </c>
      <c r="J10" s="45" t="s">
        <v>77</v>
      </c>
      <c r="K10" t="s">
        <v>78</v>
      </c>
      <c r="L10" t="s">
        <v>78</v>
      </c>
      <c r="M10" t="s">
        <v>78</v>
      </c>
      <c r="N10" s="45" t="s">
        <v>77</v>
      </c>
      <c r="O10" t="s">
        <v>78</v>
      </c>
    </row>
    <row r="12" spans="2:15" x14ac:dyDescent="0.35">
      <c r="B12" t="s">
        <v>71</v>
      </c>
    </row>
    <row r="13" spans="2:15" x14ac:dyDescent="0.35">
      <c r="B13" t="s">
        <v>79</v>
      </c>
    </row>
    <row r="14" spans="2:15" x14ac:dyDescent="0.35">
      <c r="B14" t="s">
        <v>76</v>
      </c>
    </row>
    <row r="15" spans="2:15" x14ac:dyDescent="0.35">
      <c r="B15" t="s">
        <v>38</v>
      </c>
    </row>
    <row r="16" spans="2:15" x14ac:dyDescent="0.35">
      <c r="B16" t="s">
        <v>66</v>
      </c>
    </row>
    <row r="17" spans="5:15" x14ac:dyDescent="0.35">
      <c r="E17" s="1"/>
      <c r="F17" s="3"/>
      <c r="H17" s="3"/>
      <c r="L17" s="9"/>
      <c r="O17" s="9"/>
    </row>
    <row r="18" spans="5:15" x14ac:dyDescent="0.35">
      <c r="E18" s="2"/>
      <c r="F18" s="3"/>
      <c r="H18" s="3"/>
    </row>
    <row r="19" spans="5:15" x14ac:dyDescent="0.35">
      <c r="E19" s="1"/>
      <c r="F19" s="3"/>
      <c r="H19" s="3"/>
    </row>
    <row r="20" spans="5:15" x14ac:dyDescent="0.35">
      <c r="E20" s="1"/>
      <c r="F20" s="3"/>
      <c r="H20" s="3"/>
    </row>
    <row r="21" spans="5:15" x14ac:dyDescent="0.35">
      <c r="E21" s="1"/>
      <c r="F21" s="3"/>
      <c r="H21" s="3"/>
    </row>
    <row r="22" spans="5:15" x14ac:dyDescent="0.35">
      <c r="E22" s="1"/>
      <c r="F22" s="3"/>
      <c r="H22" s="3"/>
    </row>
    <row r="23" spans="5:15" x14ac:dyDescent="0.35">
      <c r="E23" s="5"/>
      <c r="F23" s="3"/>
      <c r="H23" s="1"/>
    </row>
    <row r="32" spans="5:15" x14ac:dyDescent="0.35">
      <c r="E32" s="4"/>
    </row>
    <row r="40" spans="5:5" x14ac:dyDescent="0.35">
      <c r="E40">
        <v>0.48</v>
      </c>
    </row>
    <row r="41" spans="5:5" x14ac:dyDescent="0.35">
      <c r="E41">
        <v>0.24</v>
      </c>
    </row>
    <row r="42" spans="5:5" x14ac:dyDescent="0.35">
      <c r="E42">
        <v>0.16</v>
      </c>
    </row>
    <row r="43" spans="5:5" x14ac:dyDescent="0.35">
      <c r="E43">
        <v>0.12</v>
      </c>
    </row>
    <row r="44" spans="5:5" x14ac:dyDescent="0.35">
      <c r="E44">
        <f>SUM(E40:E43)</f>
        <v>1</v>
      </c>
    </row>
    <row r="61" spans="13:13" x14ac:dyDescent="0.35">
      <c r="M61" s="10">
        <v>0.19409999999999999</v>
      </c>
    </row>
    <row r="62" spans="13:13" x14ac:dyDescent="0.35">
      <c r="M62" s="10">
        <v>0.15670000000000001</v>
      </c>
    </row>
    <row r="63" spans="13:13" x14ac:dyDescent="0.35">
      <c r="M63" s="10">
        <v>6.5500000000000003E-2</v>
      </c>
    </row>
    <row r="64" spans="13:13" x14ac:dyDescent="0.35">
      <c r="M64" s="10">
        <v>3.3099999999999997E-2</v>
      </c>
    </row>
    <row r="65" spans="13:13" x14ac:dyDescent="0.35">
      <c r="M65" s="10">
        <v>9.1000000000000004E-3</v>
      </c>
    </row>
    <row r="66" spans="13:13" x14ac:dyDescent="0.35">
      <c r="M66" s="10">
        <v>5.28E-2</v>
      </c>
    </row>
    <row r="67" spans="13:13" x14ac:dyDescent="0.35">
      <c r="M67" s="10">
        <v>5.8299999999999998E-2</v>
      </c>
    </row>
    <row r="68" spans="13:13" x14ac:dyDescent="0.35">
      <c r="M68" s="10">
        <v>1.7100000000000001E-2</v>
      </c>
    </row>
    <row r="69" spans="13:13" x14ac:dyDescent="0.35">
      <c r="M69" s="10">
        <v>3.3399999999999999E-2</v>
      </c>
    </row>
    <row r="70" spans="13:13" x14ac:dyDescent="0.35">
      <c r="M70" s="10">
        <v>0.113</v>
      </c>
    </row>
    <row r="71" spans="13:13" x14ac:dyDescent="0.35">
      <c r="M71" s="10">
        <v>8.0299999999999996E-2</v>
      </c>
    </row>
    <row r="72" spans="13:13" x14ac:dyDescent="0.35">
      <c r="M72" s="10">
        <v>3.9E-2</v>
      </c>
    </row>
    <row r="73" spans="13:13" x14ac:dyDescent="0.35">
      <c r="M73" s="10">
        <v>2.7400000000000001E-2</v>
      </c>
    </row>
    <row r="74" spans="13:13" x14ac:dyDescent="0.35">
      <c r="M74" s="10">
        <v>6.3100000000000003E-2</v>
      </c>
    </row>
    <row r="75" spans="13:13" x14ac:dyDescent="0.35">
      <c r="M75" s="10">
        <v>1.7000000000000001E-2</v>
      </c>
    </row>
    <row r="76" spans="13:13" x14ac:dyDescent="0.35">
      <c r="M76" s="10">
        <v>4.0099999999999997E-2</v>
      </c>
    </row>
    <row r="78" spans="13:13" x14ac:dyDescent="0.35">
      <c r="M78" s="8">
        <f>SUM(M61:M77)</f>
        <v>1</v>
      </c>
    </row>
  </sheetData>
  <mergeCells count="5">
    <mergeCell ref="M2:O2"/>
    <mergeCell ref="J2:L2"/>
    <mergeCell ref="G2:I2"/>
    <mergeCell ref="C2:F2"/>
    <mergeCell ref="B2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228A-18A6-44CE-B7A0-6B42B67820F5}">
  <dimension ref="A1:W139"/>
  <sheetViews>
    <sheetView zoomScaleNormal="100" workbookViewId="0">
      <selection activeCell="E101" sqref="E101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96" t="s">
        <v>81</v>
      </c>
      <c r="C5" s="96"/>
      <c r="D5" s="96"/>
      <c r="E5" s="96"/>
      <c r="F5" s="96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84</v>
      </c>
      <c r="F6" s="13" t="s">
        <v>85</v>
      </c>
    </row>
    <row r="7" spans="1:13" x14ac:dyDescent="0.35">
      <c r="B7" s="13" t="s">
        <v>82</v>
      </c>
      <c r="C7" s="13">
        <v>1</v>
      </c>
      <c r="D7" s="13">
        <v>7</v>
      </c>
      <c r="E7" s="13">
        <v>7</v>
      </c>
      <c r="F7" s="13">
        <v>7</v>
      </c>
    </row>
    <row r="8" spans="1:13" x14ac:dyDescent="0.35">
      <c r="B8" s="13" t="s">
        <v>83</v>
      </c>
      <c r="C8" s="13">
        <f>1/D7</f>
        <v>0.14285714285714285</v>
      </c>
      <c r="D8" s="13">
        <v>1</v>
      </c>
      <c r="E8" s="13">
        <v>5</v>
      </c>
      <c r="F8" s="13">
        <v>4</v>
      </c>
    </row>
    <row r="9" spans="1:13" x14ac:dyDescent="0.35">
      <c r="B9" s="13" t="s">
        <v>84</v>
      </c>
      <c r="C9" s="13">
        <f>1/E7</f>
        <v>0.14285714285714285</v>
      </c>
      <c r="D9" s="13">
        <f>1/E8</f>
        <v>0.2</v>
      </c>
      <c r="E9" s="13">
        <v>1</v>
      </c>
      <c r="F9" s="13">
        <v>5</v>
      </c>
    </row>
    <row r="10" spans="1:13" x14ac:dyDescent="0.35">
      <c r="B10" s="13" t="s">
        <v>85</v>
      </c>
      <c r="C10" s="13">
        <f>1/F7</f>
        <v>0.14285714285714285</v>
      </c>
      <c r="D10" s="13">
        <f>1/F8</f>
        <v>0.25</v>
      </c>
      <c r="E10" s="13">
        <f>1/F9</f>
        <v>0.2</v>
      </c>
      <c r="F10" s="13">
        <v>1</v>
      </c>
    </row>
    <row r="11" spans="1:13" x14ac:dyDescent="0.35">
      <c r="B11" s="96" t="s">
        <v>86</v>
      </c>
      <c r="C11" s="96"/>
      <c r="D11" s="96"/>
      <c r="E11" s="96"/>
      <c r="F11" s="96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84</v>
      </c>
      <c r="F12" s="13" t="s">
        <v>85</v>
      </c>
    </row>
    <row r="13" spans="1:13" x14ac:dyDescent="0.35">
      <c r="B13" s="13" t="s">
        <v>82</v>
      </c>
      <c r="C13" s="13">
        <v>1</v>
      </c>
      <c r="D13" s="13">
        <f>1/7</f>
        <v>0.14285714285714285</v>
      </c>
      <c r="E13" s="13">
        <v>1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84</v>
      </c>
      <c r="L13" s="13" t="s">
        <v>85</v>
      </c>
    </row>
    <row r="14" spans="1:13" x14ac:dyDescent="0.35">
      <c r="B14" s="13" t="s">
        <v>83</v>
      </c>
      <c r="C14" s="13">
        <f>1/D13</f>
        <v>7</v>
      </c>
      <c r="D14" s="13">
        <v>1</v>
      </c>
      <c r="E14" s="13">
        <f>1/3</f>
        <v>0.33333333333333331</v>
      </c>
      <c r="F14" s="13">
        <v>3</v>
      </c>
      <c r="H14" s="13" t="s">
        <v>82</v>
      </c>
      <c r="I14" s="13">
        <v>1</v>
      </c>
      <c r="J14" s="13">
        <f>GEOMEAN(D7,D19,D13)</f>
        <v>0.52275795857471019</v>
      </c>
      <c r="K14" s="13">
        <f t="shared" ref="K14:L16" si="0">GEOMEAN(E7,E19,E13)</f>
        <v>2.7589241763811208</v>
      </c>
      <c r="L14" s="13">
        <f t="shared" si="0"/>
        <v>4.7176939803165334</v>
      </c>
    </row>
    <row r="15" spans="1:13" x14ac:dyDescent="0.35">
      <c r="B15" s="13" t="s">
        <v>84</v>
      </c>
      <c r="C15" s="13">
        <f>1/E13</f>
        <v>1</v>
      </c>
      <c r="D15" s="13">
        <f>1/E14</f>
        <v>3</v>
      </c>
      <c r="E15" s="13">
        <v>1</v>
      </c>
      <c r="F15" s="13">
        <v>5</v>
      </c>
      <c r="H15" s="13" t="s">
        <v>83</v>
      </c>
      <c r="I15" s="13">
        <f>1/J14</f>
        <v>1.9129311827723892</v>
      </c>
      <c r="J15" s="13">
        <v>1</v>
      </c>
      <c r="K15" s="13">
        <f t="shared" si="0"/>
        <v>2.0274006651911334</v>
      </c>
      <c r="L15" s="13">
        <f t="shared" si="0"/>
        <v>4.379519139887889</v>
      </c>
    </row>
    <row r="16" spans="1:13" x14ac:dyDescent="0.35">
      <c r="B16" s="13" t="s">
        <v>85</v>
      </c>
      <c r="C16" s="13">
        <f>1/F13</f>
        <v>0.2</v>
      </c>
      <c r="D16" s="13">
        <f>1/F14</f>
        <v>0.33333333333333331</v>
      </c>
      <c r="E16" s="13">
        <f>1/F15</f>
        <v>0.2</v>
      </c>
      <c r="F16" s="13">
        <v>1</v>
      </c>
      <c r="H16" s="13" t="s">
        <v>84</v>
      </c>
      <c r="I16" s="13">
        <f>1/K14</f>
        <v>0.36246012433429736</v>
      </c>
      <c r="J16" s="13">
        <f>1/K15</f>
        <v>0.49324241486609405</v>
      </c>
      <c r="K16" s="13">
        <v>1</v>
      </c>
      <c r="L16" s="13">
        <f t="shared" si="0"/>
        <v>5.5934447104069838</v>
      </c>
    </row>
    <row r="17" spans="2:20" x14ac:dyDescent="0.35">
      <c r="B17" s="96" t="s">
        <v>87</v>
      </c>
      <c r="C17" s="96"/>
      <c r="D17" s="96"/>
      <c r="E17" s="96"/>
      <c r="F17" s="96"/>
      <c r="H17" s="13" t="s">
        <v>85</v>
      </c>
      <c r="I17" s="13">
        <f>1/L14</f>
        <v>0.2119679665896653</v>
      </c>
      <c r="J17" s="13">
        <f>1/L15</f>
        <v>0.22833557019814713</v>
      </c>
      <c r="K17" s="13">
        <f>1/L16</f>
        <v>0.17878070701931353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84</v>
      </c>
      <c r="F18" s="13" t="s">
        <v>85</v>
      </c>
      <c r="H18" s="13" t="s">
        <v>88</v>
      </c>
      <c r="I18" s="13">
        <f>SUM(I14:I17)</f>
        <v>3.4873592736963519</v>
      </c>
      <c r="J18" s="13">
        <f t="shared" ref="J18:L18" si="1">SUM(J14:J17)</f>
        <v>2.2443359436389514</v>
      </c>
      <c r="K18" s="13">
        <f t="shared" si="1"/>
        <v>5.9651055485915681</v>
      </c>
      <c r="L18" s="13">
        <f t="shared" si="1"/>
        <v>15.690657830611407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3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84</v>
      </c>
      <c r="C21" s="13">
        <f>1/E19</f>
        <v>0.33333333333333331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84</v>
      </c>
      <c r="L21" s="13" t="s">
        <v>85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85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0.28674992208074718</v>
      </c>
      <c r="J22" s="13">
        <f>J14/$J$18</f>
        <v>0.23292322170232407</v>
      </c>
      <c r="K22" s="13">
        <f>K14/$K$18</f>
        <v>0.46251053797908664</v>
      </c>
      <c r="L22" s="13">
        <f>L14/$L$18</f>
        <v>0.3006689732990438</v>
      </c>
      <c r="M22" s="63">
        <f>SUM(I22:L22)/4</f>
        <v>0.3207131637653004</v>
      </c>
      <c r="N22" s="13">
        <f>MMULT(I14:L14,$M$22:$M$25)</f>
        <v>1.4184993423147763</v>
      </c>
      <c r="O22" s="13">
        <f>N22/M22</f>
        <v>4.4229532884183129</v>
      </c>
    </row>
    <row r="23" spans="2:20" x14ac:dyDescent="0.35">
      <c r="H23" s="13" t="s">
        <v>83</v>
      </c>
      <c r="I23" s="13">
        <f>I15/$I$18</f>
        <v>0.5485328676058141</v>
      </c>
      <c r="J23" s="13">
        <f t="shared" ref="J23:J25" si="2">J15/$J$18</f>
        <v>0.44556609398618224</v>
      </c>
      <c r="K23" s="13">
        <f t="shared" ref="K23:K25" si="3">K15/$K$18</f>
        <v>0.3398767462999589</v>
      </c>
      <c r="L23" s="13">
        <f t="shared" ref="L23:L25" si="4">L15/$L$18</f>
        <v>0.27911634981573208</v>
      </c>
      <c r="M23" s="63">
        <f t="shared" ref="M23:M25" si="5">SUM(I23:L23)/4</f>
        <v>0.40327301442692187</v>
      </c>
      <c r="N23" s="13">
        <f>MMULT(I15:L15,$M$22:$M$25)</f>
        <v>1.7270329363972303</v>
      </c>
      <c r="O23" s="13">
        <f t="shared" ref="O23:O25" si="6">N23/M23</f>
        <v>4.2825403005243494</v>
      </c>
    </row>
    <row r="24" spans="2:20" x14ac:dyDescent="0.35">
      <c r="H24" s="13" t="s">
        <v>84</v>
      </c>
      <c r="I24" s="13">
        <f>I16/$I$18</f>
        <v>0.10393541241023771</v>
      </c>
      <c r="J24" s="13">
        <f t="shared" si="2"/>
        <v>0.21977209618019755</v>
      </c>
      <c r="K24" s="13">
        <f t="shared" si="3"/>
        <v>0.16764162710182251</v>
      </c>
      <c r="L24" s="13">
        <f t="shared" si="4"/>
        <v>0.35648248599842342</v>
      </c>
      <c r="M24" s="63">
        <f t="shared" si="5"/>
        <v>0.21195790542267029</v>
      </c>
      <c r="N24" s="13">
        <f>MMULT(I16:L16,$M$22:$M$25)</f>
        <v>0.88540822079750237</v>
      </c>
      <c r="O24" s="13">
        <f t="shared" si="6"/>
        <v>4.1772833102492157</v>
      </c>
    </row>
    <row r="25" spans="2:20" x14ac:dyDescent="0.35">
      <c r="H25" s="13" t="s">
        <v>85</v>
      </c>
      <c r="I25" s="13">
        <f>I17/$I$18</f>
        <v>6.0781797903200943E-2</v>
      </c>
      <c r="J25" s="13">
        <f t="shared" si="2"/>
        <v>0.10173858813129613</v>
      </c>
      <c r="K25" s="13">
        <f t="shared" si="3"/>
        <v>2.997108861913194E-2</v>
      </c>
      <c r="L25" s="13">
        <f t="shared" si="4"/>
        <v>6.3732190886800683E-2</v>
      </c>
      <c r="M25" s="63">
        <f t="shared" si="5"/>
        <v>6.4055916385107436E-2</v>
      </c>
      <c r="N25" s="13">
        <f>MMULT(I17:L17,$M$22:$M$25)</f>
        <v>0.26201239145147109</v>
      </c>
      <c r="O25" s="13">
        <f t="shared" si="6"/>
        <v>4.0903698867757852</v>
      </c>
    </row>
    <row r="26" spans="2:20" x14ac:dyDescent="0.35">
      <c r="H26" s="13" t="s">
        <v>88</v>
      </c>
      <c r="I26" s="13">
        <f>SUM(I22:I25)</f>
        <v>1</v>
      </c>
      <c r="J26" s="13">
        <f t="shared" ref="J26:L26" si="7">SUM(J22:J25)</f>
        <v>1</v>
      </c>
      <c r="K26" s="13">
        <f t="shared" si="7"/>
        <v>1</v>
      </c>
      <c r="L26" s="13">
        <f t="shared" si="7"/>
        <v>1</v>
      </c>
      <c r="M26" s="62"/>
    </row>
    <row r="27" spans="2:20" x14ac:dyDescent="0.35">
      <c r="O27" s="13" t="s">
        <v>93</v>
      </c>
      <c r="P27" s="13">
        <f>AVERAGE(O22:O25)</f>
        <v>4.243286696491916</v>
      </c>
      <c r="Q27" s="97" t="s">
        <v>130</v>
      </c>
      <c r="R27" s="98"/>
      <c r="S27" s="98"/>
      <c r="T27" s="99"/>
    </row>
    <row r="28" spans="2:20" x14ac:dyDescent="0.35">
      <c r="O28" s="13" t="s">
        <v>94</v>
      </c>
      <c r="P28" s="13">
        <v>4</v>
      </c>
      <c r="Q28" s="100" t="str">
        <f>IF(P31&lt;=0.1,"Konsisten","Tidak Konsisten")</f>
        <v>Konsisten</v>
      </c>
      <c r="R28" s="101"/>
      <c r="S28" s="101"/>
      <c r="T28" s="102"/>
    </row>
    <row r="29" spans="2:20" x14ac:dyDescent="0.35">
      <c r="O29" s="13" t="s">
        <v>95</v>
      </c>
      <c r="P29" s="13">
        <f>(P27-P28)/(P28-1)</f>
        <v>8.1095565497305344E-2</v>
      </c>
      <c r="Q29" s="59" t="s">
        <v>100</v>
      </c>
      <c r="R29" s="60"/>
      <c r="S29" s="60"/>
      <c r="T29" s="61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9.0106183885894822E-2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96" t="s">
        <v>81</v>
      </c>
      <c r="C36" s="96"/>
      <c r="D36" s="96"/>
      <c r="E36" s="96"/>
      <c r="F36" s="96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13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96" t="s">
        <v>86</v>
      </c>
      <c r="C42" s="96"/>
      <c r="D42" s="96"/>
      <c r="E42" s="96"/>
      <c r="F42" s="96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13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8">GEOMEAN(E38,E44,E50)</f>
        <v>2.924017738212866</v>
      </c>
      <c r="L45" s="13">
        <f t="shared" si="8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8"/>
        <v>2.4662120743304699</v>
      </c>
      <c r="L46" s="13">
        <f t="shared" si="8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8"/>
        <v>1.6134286460245437</v>
      </c>
    </row>
    <row r="48" spans="1:12" x14ac:dyDescent="0.35">
      <c r="B48" s="96" t="s">
        <v>87</v>
      </c>
      <c r="C48" s="96"/>
      <c r="D48" s="96"/>
      <c r="E48" s="96"/>
      <c r="F48" s="96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:L49" si="9">SUM(J45:J48)</f>
        <v>3.5008027517184481</v>
      </c>
      <c r="K49" s="13">
        <f t="shared" si="9"/>
        <v>7.0100279067844289</v>
      </c>
      <c r="L49" s="13">
        <f t="shared" si="9"/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13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3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0">I46/$I$49</f>
        <v>0.2948531816878659</v>
      </c>
      <c r="J54" s="13">
        <f t="shared" ref="J54:J56" si="11">J46/$J$49</f>
        <v>0.28564876998829125</v>
      </c>
      <c r="K54" s="13">
        <f t="shared" ref="K54:K56" si="12">K46/$K$49</f>
        <v>0.35181201945624585</v>
      </c>
      <c r="L54" s="13">
        <f t="shared" ref="L54:L56" si="13">L46/$L$49</f>
        <v>0.189028471386155</v>
      </c>
      <c r="M54" s="63">
        <f t="shared" ref="M54:M56" si="14">SUM(I54:L54)/4</f>
        <v>0.28033561062963952</v>
      </c>
      <c r="N54" s="13">
        <f>MMULT(I46:L46,$M$53:$M$56)</f>
        <v>1.1356728454306744</v>
      </c>
      <c r="O54" s="13">
        <f t="shared" ref="O54:O56" si="15">N54/M54</f>
        <v>4.0511187389997652</v>
      </c>
    </row>
    <row r="55" spans="1:19" x14ac:dyDescent="0.35">
      <c r="H55" s="13" t="s">
        <v>104</v>
      </c>
      <c r="I55" s="13">
        <f t="shared" si="10"/>
        <v>0.15857485656889408</v>
      </c>
      <c r="J55" s="13">
        <f t="shared" si="11"/>
        <v>0.11582490125705815</v>
      </c>
      <c r="K55" s="13">
        <f t="shared" si="12"/>
        <v>0.14265278445356577</v>
      </c>
      <c r="L55" s="13">
        <f t="shared" si="13"/>
        <v>0.15943278743914016</v>
      </c>
      <c r="M55" s="63">
        <f t="shared" si="14"/>
        <v>0.14412133242966454</v>
      </c>
      <c r="N55" s="13">
        <f t="shared" ref="N55:N56" si="16">MMULT(I47:L47,$M$53:$M$56)</f>
        <v>0.58795161254946959</v>
      </c>
      <c r="O55" s="13">
        <f t="shared" si="15"/>
        <v>4.0795599279961365</v>
      </c>
    </row>
    <row r="56" spans="1:19" x14ac:dyDescent="0.35">
      <c r="H56" s="13" t="s">
        <v>20</v>
      </c>
      <c r="I56" s="13">
        <f t="shared" si="10"/>
        <v>8.2896268301232548E-2</v>
      </c>
      <c r="J56" s="13">
        <f t="shared" si="11"/>
        <v>0.14932516786845609</v>
      </c>
      <c r="K56" s="13">
        <f t="shared" si="12"/>
        <v>8.8415923942505553E-2</v>
      </c>
      <c r="L56" s="13">
        <f t="shared" si="13"/>
        <v>9.8816137814324426E-2</v>
      </c>
      <c r="M56" s="63">
        <f t="shared" si="14"/>
        <v>0.10486337448162966</v>
      </c>
      <c r="N56" s="13">
        <f t="shared" si="16"/>
        <v>0.42488561959922588</v>
      </c>
      <c r="O56" s="13">
        <f t="shared" si="15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17">SUM(J53:J56)</f>
        <v>1</v>
      </c>
      <c r="K57" s="13">
        <f>SUM(K53:K56)</f>
        <v>1.0000000000000002</v>
      </c>
      <c r="L57" s="13">
        <f t="shared" ref="L57" si="18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97" t="s">
        <v>130</v>
      </c>
      <c r="R58" s="98"/>
      <c r="S58" s="99"/>
    </row>
    <row r="59" spans="1:19" x14ac:dyDescent="0.35">
      <c r="O59" s="13" t="s">
        <v>94</v>
      </c>
      <c r="P59" s="13">
        <v>4</v>
      </c>
      <c r="Q59" s="100" t="str">
        <f>IF(P62&lt;=0.1,"Konsisten","Tidak Konsisten")</f>
        <v>Konsisten</v>
      </c>
      <c r="R59" s="101"/>
      <c r="S59" s="102"/>
    </row>
    <row r="60" spans="1:19" x14ac:dyDescent="0.35">
      <c r="O60" s="13" t="s">
        <v>95</v>
      </c>
      <c r="P60" s="13">
        <f>(P58-P59)/(P59-1)</f>
        <v>2.1716386060864085E-2</v>
      </c>
      <c r="Q60" s="59" t="s">
        <v>100</v>
      </c>
      <c r="R60" s="60"/>
      <c r="S60" s="61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96" t="s">
        <v>81</v>
      </c>
      <c r="C65" s="96"/>
      <c r="D65" s="96"/>
      <c r="E65" s="96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13">
        <f>1/7</f>
        <v>0.14285714285714285</v>
      </c>
      <c r="E67" s="13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96" t="s">
        <v>86</v>
      </c>
      <c r="C70" s="96"/>
      <c r="D70" s="96"/>
      <c r="E70" s="96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96" t="s">
        <v>87</v>
      </c>
      <c r="C75" s="96"/>
      <c r="D75" s="96"/>
      <c r="E75" s="96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13">
        <f>1/7</f>
        <v>0.14285714285714285</v>
      </c>
      <c r="E77" s="13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3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19">H74/$H$76</f>
        <v>0.55678238166283811</v>
      </c>
      <c r="I81" s="13">
        <f t="shared" ref="I81:I82" si="20">I74/$I$76</f>
        <v>0.61134559327508708</v>
      </c>
      <c r="J81" s="13">
        <f t="shared" ref="J81:J82" si="21">J74/$J$76</f>
        <v>0.6443552065337006</v>
      </c>
      <c r="K81" s="63">
        <f>SUM(H81:J81)/3</f>
        <v>0.60416106049054197</v>
      </c>
      <c r="L81" s="13">
        <f>MMULT(H74:J74,$K$80:$K$82)</f>
        <v>1.8287006846876588</v>
      </c>
      <c r="M81" s="13">
        <f t="shared" ref="M81:M82" si="22">L81/K81</f>
        <v>3.0268430130251449</v>
      </c>
    </row>
    <row r="82" spans="1:18" x14ac:dyDescent="0.35">
      <c r="G82" s="13" t="s">
        <v>42</v>
      </c>
      <c r="H82" s="13">
        <f t="shared" si="19"/>
        <v>0.2910624212084304</v>
      </c>
      <c r="I82" s="13">
        <f t="shared" si="20"/>
        <v>0.22158839974971287</v>
      </c>
      <c r="J82" s="13">
        <f t="shared" si="21"/>
        <v>0.23355306827565697</v>
      </c>
      <c r="K82" s="63">
        <f>SUM(H82:J82)/3</f>
        <v>0.24873462974460012</v>
      </c>
      <c r="L82" s="13">
        <f>MMULT(H75:J75,$K$80:$K$82)</f>
        <v>0.7491193441173486</v>
      </c>
      <c r="M82" s="13">
        <f t="shared" si="22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97" t="s">
        <v>130</v>
      </c>
      <c r="Q83" s="98"/>
      <c r="R83" s="99"/>
    </row>
    <row r="84" spans="1:18" x14ac:dyDescent="0.35">
      <c r="N84" s="13" t="s">
        <v>94</v>
      </c>
      <c r="O84" s="13">
        <v>3</v>
      </c>
      <c r="P84" s="100" t="str">
        <f>IF(O87&lt;=0.1,"Konsisten","Tidak Konsisten")</f>
        <v>Konsisten</v>
      </c>
      <c r="Q84" s="101"/>
      <c r="R84" s="102"/>
    </row>
    <row r="85" spans="1:18" x14ac:dyDescent="0.35">
      <c r="N85" s="13" t="s">
        <v>95</v>
      </c>
      <c r="O85" s="13">
        <f>(O83-O84)/(O84-1)</f>
        <v>7.4720099010157082E-3</v>
      </c>
      <c r="P85" s="59" t="s">
        <v>100</v>
      </c>
      <c r="Q85" s="60"/>
      <c r="R85" s="61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96" t="s">
        <v>81</v>
      </c>
      <c r="C90" s="96"/>
      <c r="D90" s="96"/>
      <c r="E90" s="96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7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13">
        <v>1</v>
      </c>
    </row>
    <row r="94" spans="1:18" x14ac:dyDescent="0.35">
      <c r="B94" s="13" t="s">
        <v>107</v>
      </c>
      <c r="C94" s="13">
        <f>1/E92</f>
        <v>0.14285714285714285</v>
      </c>
      <c r="D94" s="13">
        <f>1/E93</f>
        <v>1</v>
      </c>
      <c r="E94" s="13">
        <v>1</v>
      </c>
    </row>
    <row r="95" spans="1:18" x14ac:dyDescent="0.35">
      <c r="B95" s="96" t="s">
        <v>86</v>
      </c>
      <c r="C95" s="96"/>
      <c r="D95" s="96"/>
      <c r="E95" s="96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80">
        <v>5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80">
        <v>3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5.5934447104069838</v>
      </c>
    </row>
    <row r="99" spans="2:18" x14ac:dyDescent="0.35">
      <c r="B99" s="13" t="s">
        <v>107</v>
      </c>
      <c r="C99" s="13">
        <f>1/E97</f>
        <v>0.2</v>
      </c>
      <c r="D99" s="13">
        <f>1/E98</f>
        <v>0.33333333333333331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2.0800838230519041</v>
      </c>
    </row>
    <row r="100" spans="2:18" x14ac:dyDescent="0.35">
      <c r="B100" s="96" t="s">
        <v>87</v>
      </c>
      <c r="C100" s="96"/>
      <c r="D100" s="96"/>
      <c r="E100" s="96"/>
      <c r="G100" s="13" t="s">
        <v>107</v>
      </c>
      <c r="H100" s="13">
        <f>1/J98</f>
        <v>0.17878070701931353</v>
      </c>
      <c r="I100" s="13">
        <f>1/J99</f>
        <v>0.48074985676913612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1.3216378498764563</v>
      </c>
      <c r="I101" s="13">
        <f>SUM(I98:I100)</f>
        <v>8.4807498567691368</v>
      </c>
      <c r="J101" s="13">
        <f>SUM(J98:J100)</f>
        <v>8.6735285334588887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5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80">
        <v>3</v>
      </c>
      <c r="G103" t="s">
        <v>89</v>
      </c>
    </row>
    <row r="104" spans="2:18" x14ac:dyDescent="0.35">
      <c r="B104" s="13" t="s">
        <v>107</v>
      </c>
      <c r="C104" s="13">
        <f>1/E102</f>
        <v>0.2</v>
      </c>
      <c r="D104" s="13">
        <f>1/E103</f>
        <v>0.33333333333333331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0.75663692598806687</v>
      </c>
      <c r="I105" s="13">
        <f>I98/$I$101</f>
        <v>0.8253987109893075</v>
      </c>
      <c r="J105" s="13">
        <f>J98/$J$101</f>
        <v>0.64488687491253249</v>
      </c>
      <c r="K105" s="63">
        <f>SUM(H105:J105)/3</f>
        <v>0.74230750396330214</v>
      </c>
      <c r="L105" s="13">
        <f>MMULT(H98:J98,$K$105:$K$107)</f>
        <v>2.4020990513361093</v>
      </c>
      <c r="M105" s="13">
        <f>L105/K105</f>
        <v>3.2359891803745842</v>
      </c>
    </row>
    <row r="106" spans="2:18" x14ac:dyDescent="0.35">
      <c r="G106" s="13" t="s">
        <v>29</v>
      </c>
      <c r="H106" s="13">
        <f t="shared" ref="H106:H107" si="23">H99/$H$101</f>
        <v>0.10809098942686668</v>
      </c>
      <c r="I106" s="13">
        <f t="shared" ref="I106:I107" si="24">I99/$I$101</f>
        <v>0.11791410156990108</v>
      </c>
      <c r="J106" s="13">
        <f t="shared" ref="J106:J107" si="25">J99/$J$101</f>
        <v>0.23981979364312925</v>
      </c>
      <c r="K106" s="63">
        <f>SUM(H106:J106)/3</f>
        <v>0.15527496154663234</v>
      </c>
      <c r="L106" s="13">
        <f t="shared" ref="L106:L107" si="26">MMULT(H99:J99,$K$105:$K$107)</f>
        <v>0.47435594737389231</v>
      </c>
      <c r="M106" s="13">
        <f t="shared" ref="M106:M107" si="27">L106/K106</f>
        <v>3.0549416509205396</v>
      </c>
    </row>
    <row r="107" spans="2:18" x14ac:dyDescent="0.35">
      <c r="G107" s="13" t="s">
        <v>107</v>
      </c>
      <c r="H107" s="13">
        <f t="shared" si="23"/>
        <v>0.13527208458506659</v>
      </c>
      <c r="I107" s="13">
        <f t="shared" si="24"/>
        <v>5.6687187440791313E-2</v>
      </c>
      <c r="J107" s="13">
        <f t="shared" si="25"/>
        <v>0.11529333144433816</v>
      </c>
      <c r="K107" s="63">
        <f>SUM(H107:J107)/3</f>
        <v>0.10241753449006535</v>
      </c>
      <c r="L107" s="13">
        <f t="shared" si="26"/>
        <v>0.309776210397743</v>
      </c>
      <c r="M107" s="13">
        <f t="shared" si="27"/>
        <v>3.0246403796001529</v>
      </c>
    </row>
    <row r="108" spans="2:18" x14ac:dyDescent="0.35">
      <c r="G108" s="13" t="s">
        <v>88</v>
      </c>
      <c r="H108" s="13">
        <f>SUM(H105:H107)</f>
        <v>1.0000000000000002</v>
      </c>
      <c r="I108" s="13">
        <f>SUM(I105:I107)</f>
        <v>0.99999999999999989</v>
      </c>
      <c r="J108" s="13">
        <f>SUM(J105:J107)</f>
        <v>0.99999999999999989</v>
      </c>
      <c r="N108" s="13" t="s">
        <v>93</v>
      </c>
      <c r="O108" s="13">
        <f>AVERAGE(M105:M107)</f>
        <v>3.105190403631759</v>
      </c>
      <c r="P108" s="97" t="s">
        <v>130</v>
      </c>
      <c r="Q108" s="98"/>
      <c r="R108" s="99"/>
    </row>
    <row r="109" spans="2:18" x14ac:dyDescent="0.35">
      <c r="N109" s="13" t="s">
        <v>94</v>
      </c>
      <c r="O109" s="13">
        <v>3</v>
      </c>
      <c r="P109" s="100" t="str">
        <f>IF(O112&lt;=0.1,"Konsisten","Tidak Konsisten")</f>
        <v>Konsisten</v>
      </c>
      <c r="Q109" s="101"/>
      <c r="R109" s="102"/>
    </row>
    <row r="110" spans="2:18" x14ac:dyDescent="0.35">
      <c r="N110" s="13" t="s">
        <v>95</v>
      </c>
      <c r="O110" s="13">
        <f>(O108-O109)/(O109-1)</f>
        <v>5.2595201815879511E-2</v>
      </c>
      <c r="P110" s="59" t="s">
        <v>100</v>
      </c>
      <c r="Q110" s="60"/>
      <c r="R110" s="61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13">
        <f>O110/O111</f>
        <v>9.0681382441171576E-2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96" t="s">
        <v>81</v>
      </c>
      <c r="C115" s="96"/>
      <c r="D115" s="96"/>
      <c r="E115" s="96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96" t="s">
        <v>86</v>
      </c>
      <c r="C120" s="96"/>
      <c r="D120" s="96"/>
      <c r="E120" s="96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96" t="s">
        <v>87</v>
      </c>
      <c r="C125" s="96"/>
      <c r="D125" s="96"/>
      <c r="E125" s="96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3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28">H124/$H$126</f>
        <v>0.20372981850483116</v>
      </c>
      <c r="I131" s="13">
        <f t="shared" ref="I131:I132" si="29">I124/$I$126</f>
        <v>0.24685167704017663</v>
      </c>
      <c r="J131" s="13">
        <f t="shared" ref="J131:J132" si="30">J124/$J$126</f>
        <v>0.38687659683538933</v>
      </c>
      <c r="K131" s="63">
        <f>SUM(H131:J131)/3</f>
        <v>0.27915269746013238</v>
      </c>
      <c r="L131" s="13">
        <f t="shared" ref="L131:L132" si="31">MMULT(H124:J124,$K$130:$K$132)</f>
        <v>0.8603598580176437</v>
      </c>
      <c r="M131" s="13">
        <f t="shared" ref="M131:M132" si="32">L131/K131</f>
        <v>3.0820402806264027</v>
      </c>
    </row>
    <row r="132" spans="1:23" x14ac:dyDescent="0.35">
      <c r="G132" s="13" t="s">
        <v>109</v>
      </c>
      <c r="H132" s="13">
        <f t="shared" si="28"/>
        <v>0.29382924319739906</v>
      </c>
      <c r="I132" s="13">
        <f t="shared" si="29"/>
        <v>0.14435973647461406</v>
      </c>
      <c r="J132" s="13">
        <f t="shared" si="30"/>
        <v>0.22624680632922123</v>
      </c>
      <c r="K132" s="63">
        <f>SUM(H132:J132)/3</f>
        <v>0.22147859533374478</v>
      </c>
      <c r="L132" s="13">
        <f t="shared" si="31"/>
        <v>0.67676067469825019</v>
      </c>
      <c r="M132" s="13">
        <f t="shared" si="32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97" t="s">
        <v>130</v>
      </c>
      <c r="Q133" s="98"/>
      <c r="R133" s="99"/>
    </row>
    <row r="134" spans="1:23" x14ac:dyDescent="0.35">
      <c r="N134" s="13" t="s">
        <v>94</v>
      </c>
      <c r="O134" s="13">
        <v>3</v>
      </c>
      <c r="P134" s="100" t="str">
        <f>IF(O137&lt;=0.1,"Konsisten","Tidak Konsisten")</f>
        <v>Konsisten</v>
      </c>
      <c r="Q134" s="101"/>
      <c r="R134" s="102"/>
    </row>
    <row r="135" spans="1:23" x14ac:dyDescent="0.35">
      <c r="N135" s="13" t="s">
        <v>95</v>
      </c>
      <c r="O135" s="13">
        <f>(O133-O134)/(O134-1)</f>
        <v>4.5788724147472815E-2</v>
      </c>
      <c r="P135" s="59" t="s">
        <v>100</v>
      </c>
      <c r="Q135" s="60"/>
      <c r="R135" s="61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P134:R134"/>
    <mergeCell ref="P108:R108"/>
    <mergeCell ref="P109:R109"/>
    <mergeCell ref="B115:E115"/>
    <mergeCell ref="B120:E120"/>
    <mergeCell ref="B125:E125"/>
    <mergeCell ref="P133:R133"/>
    <mergeCell ref="B100:E100"/>
    <mergeCell ref="B42:F42"/>
    <mergeCell ref="B48:F48"/>
    <mergeCell ref="Q58:S58"/>
    <mergeCell ref="Q59:S59"/>
    <mergeCell ref="B65:E65"/>
    <mergeCell ref="B70:E70"/>
    <mergeCell ref="B75:E75"/>
    <mergeCell ref="P83:R83"/>
    <mergeCell ref="P84:R84"/>
    <mergeCell ref="B90:E90"/>
    <mergeCell ref="B95:E95"/>
    <mergeCell ref="B36:F36"/>
    <mergeCell ref="B5:F5"/>
    <mergeCell ref="B11:F11"/>
    <mergeCell ref="B17:F17"/>
    <mergeCell ref="Q27:T27"/>
    <mergeCell ref="Q28:T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68FD-C149-44E9-BC3C-3B65255D8114}">
  <sheetPr>
    <tabColor rgb="FFFFFF00"/>
  </sheetPr>
  <dimension ref="A1:W139"/>
  <sheetViews>
    <sheetView zoomScale="85" zoomScaleNormal="85" workbookViewId="0">
      <selection activeCell="E13" sqref="E13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103" t="s">
        <v>81</v>
      </c>
      <c r="C5" s="103"/>
      <c r="D5" s="103"/>
      <c r="E5" s="103"/>
      <c r="F5" s="103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85</v>
      </c>
      <c r="F6" s="13" t="s">
        <v>84</v>
      </c>
    </row>
    <row r="7" spans="1:13" x14ac:dyDescent="0.35">
      <c r="B7" s="13" t="s">
        <v>82</v>
      </c>
      <c r="C7" s="13">
        <v>1</v>
      </c>
      <c r="D7" s="13">
        <v>5</v>
      </c>
      <c r="E7" s="13">
        <v>3</v>
      </c>
      <c r="F7" s="13">
        <v>7</v>
      </c>
    </row>
    <row r="8" spans="1:13" x14ac:dyDescent="0.35">
      <c r="B8" s="13" t="s">
        <v>83</v>
      </c>
      <c r="C8" s="13">
        <f>1/D7</f>
        <v>0.2</v>
      </c>
      <c r="D8" s="13">
        <v>1</v>
      </c>
      <c r="E8" s="13">
        <v>3</v>
      </c>
      <c r="F8" s="13">
        <v>5</v>
      </c>
    </row>
    <row r="9" spans="1:13" x14ac:dyDescent="0.35">
      <c r="B9" s="13" t="s">
        <v>85</v>
      </c>
      <c r="C9" s="13">
        <f>1/E7</f>
        <v>0.33333333333333331</v>
      </c>
      <c r="D9" s="13">
        <f>1/E8</f>
        <v>0.33333333333333331</v>
      </c>
      <c r="E9" s="13">
        <v>1</v>
      </c>
      <c r="F9" s="13">
        <v>5</v>
      </c>
    </row>
    <row r="10" spans="1:13" x14ac:dyDescent="0.35">
      <c r="B10" s="13" t="s">
        <v>84</v>
      </c>
      <c r="C10" s="13">
        <f>1/F7</f>
        <v>0.14285714285714285</v>
      </c>
      <c r="D10" s="13">
        <f>1/F8</f>
        <v>0.2</v>
      </c>
      <c r="E10" s="13">
        <f>1/F9</f>
        <v>0.2</v>
      </c>
      <c r="F10" s="13">
        <v>1</v>
      </c>
    </row>
    <row r="11" spans="1:13" x14ac:dyDescent="0.35">
      <c r="B11" s="103" t="s">
        <v>86</v>
      </c>
      <c r="C11" s="103"/>
      <c r="D11" s="103"/>
      <c r="E11" s="103"/>
      <c r="F11" s="103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85</v>
      </c>
      <c r="F12" s="13" t="s">
        <v>84</v>
      </c>
    </row>
    <row r="13" spans="1:13" x14ac:dyDescent="0.35">
      <c r="B13" s="13" t="s">
        <v>82</v>
      </c>
      <c r="C13" s="13">
        <v>1</v>
      </c>
      <c r="D13" s="13">
        <f>1/3</f>
        <v>0.33333333333333331</v>
      </c>
      <c r="E13" s="13">
        <v>3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85</v>
      </c>
      <c r="L13" s="13" t="s">
        <v>84</v>
      </c>
    </row>
    <row r="14" spans="1:13" x14ac:dyDescent="0.35">
      <c r="B14" s="13" t="s">
        <v>83</v>
      </c>
      <c r="C14" s="13">
        <f>1/D13</f>
        <v>3</v>
      </c>
      <c r="D14" s="13">
        <v>1</v>
      </c>
      <c r="E14" s="13">
        <v>3</v>
      </c>
      <c r="F14" s="13">
        <v>5</v>
      </c>
      <c r="H14" s="13" t="s">
        <v>82</v>
      </c>
      <c r="I14" s="13">
        <v>1</v>
      </c>
      <c r="J14" s="13">
        <f>GEOMEAN(D7,D19,D13)</f>
        <v>0.61979809424109344</v>
      </c>
      <c r="K14" s="13">
        <f t="shared" ref="K14:L16" si="0">GEOMEAN(E7,E19,E13)</f>
        <v>3.9790572078963922</v>
      </c>
      <c r="L14" s="13">
        <f t="shared" si="0"/>
        <v>4.7176939803165334</v>
      </c>
    </row>
    <row r="15" spans="1:13" x14ac:dyDescent="0.35">
      <c r="B15" s="13" t="s">
        <v>85</v>
      </c>
      <c r="C15" s="13">
        <f>1/E13</f>
        <v>0.33333333333333331</v>
      </c>
      <c r="D15" s="13">
        <f>1/E14</f>
        <v>0.33333333333333331</v>
      </c>
      <c r="E15" s="13">
        <v>1</v>
      </c>
      <c r="F15" s="13">
        <v>3</v>
      </c>
      <c r="H15" s="13" t="s">
        <v>83</v>
      </c>
      <c r="I15" s="13">
        <f>1/J14</f>
        <v>1.6134286460245437</v>
      </c>
      <c r="J15" s="13">
        <v>1</v>
      </c>
      <c r="K15" s="13">
        <f t="shared" si="0"/>
        <v>3.556893304490063</v>
      </c>
      <c r="L15" s="13">
        <f t="shared" si="0"/>
        <v>5.5934447104069838</v>
      </c>
    </row>
    <row r="16" spans="1:13" x14ac:dyDescent="0.35">
      <c r="B16" s="13" t="s">
        <v>84</v>
      </c>
      <c r="C16" s="13">
        <f>1/F13</f>
        <v>0.2</v>
      </c>
      <c r="D16" s="13">
        <f>1/F14</f>
        <v>0.2</v>
      </c>
      <c r="E16" s="13">
        <f>1/F15</f>
        <v>0.33333333333333331</v>
      </c>
      <c r="F16" s="13">
        <v>1</v>
      </c>
      <c r="H16" s="13" t="s">
        <v>84</v>
      </c>
      <c r="I16" s="13">
        <f>1/K14</f>
        <v>0.25131581370971789</v>
      </c>
      <c r="J16" s="13">
        <f>1/K15</f>
        <v>0.28114422176724974</v>
      </c>
      <c r="K16" s="13">
        <v>1</v>
      </c>
      <c r="L16" s="13">
        <f t="shared" si="0"/>
        <v>4.7176939803165334</v>
      </c>
    </row>
    <row r="17" spans="2:20" x14ac:dyDescent="0.35">
      <c r="B17" s="103" t="s">
        <v>87</v>
      </c>
      <c r="C17" s="103"/>
      <c r="D17" s="103"/>
      <c r="E17" s="103"/>
      <c r="F17" s="103"/>
      <c r="H17" s="13" t="s">
        <v>85</v>
      </c>
      <c r="I17" s="13">
        <f>1/L14</f>
        <v>0.2119679665896653</v>
      </c>
      <c r="J17" s="13">
        <f>1/L15</f>
        <v>0.17878070701931353</v>
      </c>
      <c r="K17" s="13">
        <f>1/L16</f>
        <v>0.2119679665896653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85</v>
      </c>
      <c r="F18" s="13" t="s">
        <v>84</v>
      </c>
      <c r="H18" s="13" t="s">
        <v>88</v>
      </c>
      <c r="I18" s="13">
        <f>SUM(I14:I17)</f>
        <v>3.0767124263239269</v>
      </c>
      <c r="J18" s="13">
        <f t="shared" ref="J18:L18" si="1">SUM(J14:J17)</f>
        <v>2.0797230230276567</v>
      </c>
      <c r="K18" s="13">
        <f t="shared" si="1"/>
        <v>8.7479184789761195</v>
      </c>
      <c r="L18" s="13">
        <f t="shared" si="1"/>
        <v>16.02883267104005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7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85</v>
      </c>
      <c r="C21" s="13">
        <f>1/E19</f>
        <v>0.14285714285714285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85</v>
      </c>
      <c r="L21" s="13" t="s">
        <v>84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84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0.32502225149290459</v>
      </c>
      <c r="J22" s="13">
        <f>J14/$J$18</f>
        <v>0.29801953787999741</v>
      </c>
      <c r="K22" s="13">
        <f>K14/$K$18</f>
        <v>0.45485760040622969</v>
      </c>
      <c r="L22" s="13">
        <f>L14/$L$18</f>
        <v>0.29432548689838062</v>
      </c>
      <c r="M22" s="63">
        <f>SUM(I22:L22)/4</f>
        <v>0.34305621916937806</v>
      </c>
      <c r="N22" s="13">
        <f>MMULT(I14:L14,$M$22:$M$25)</f>
        <v>1.5229233141820708</v>
      </c>
      <c r="O22" s="13">
        <f>N22/M22</f>
        <v>4.4392820449937798</v>
      </c>
    </row>
    <row r="23" spans="2:20" x14ac:dyDescent="0.35">
      <c r="H23" s="13" t="s">
        <v>83</v>
      </c>
      <c r="I23" s="13">
        <f>I15/$I$18</f>
        <v>0.52440021115404578</v>
      </c>
      <c r="J23" s="13">
        <f t="shared" ref="J23:J25" si="2">J15/$J$18</f>
        <v>0.48083325949058447</v>
      </c>
      <c r="K23" s="13">
        <f t="shared" ref="K23:K25" si="3">K15/$K$18</f>
        <v>0.40659881696867067</v>
      </c>
      <c r="L23" s="13">
        <f t="shared" ref="L23:L25" si="4">L15/$L$18</f>
        <v>0.34896145122987587</v>
      </c>
      <c r="M23" s="63">
        <f t="shared" ref="M23:M25" si="5">SUM(I23:L23)/4</f>
        <v>0.44019843471079423</v>
      </c>
      <c r="N23" s="13">
        <f>MMULT(I15:L15,$M$22:$M$25)</f>
        <v>1.8875799432910227</v>
      </c>
      <c r="O23" s="13">
        <f t="shared" ref="O23:O25" si="6">N23/M23</f>
        <v>4.2880205708390191</v>
      </c>
    </row>
    <row r="24" spans="2:20" x14ac:dyDescent="0.35">
      <c r="H24" s="13" t="s">
        <v>84</v>
      </c>
      <c r="I24" s="13">
        <f>I16/$I$18</f>
        <v>8.1683231607703882E-2</v>
      </c>
      <c r="J24" s="13">
        <f t="shared" si="2"/>
        <v>0.13518349253929041</v>
      </c>
      <c r="K24" s="13">
        <f t="shared" si="3"/>
        <v>0.11431290796814132</v>
      </c>
      <c r="L24" s="13">
        <f t="shared" si="4"/>
        <v>0.29432548689838062</v>
      </c>
      <c r="M24" s="63">
        <f t="shared" si="5"/>
        <v>0.15637627975337906</v>
      </c>
      <c r="N24" s="13">
        <f>MMULT(I16:L16,$M$22:$M$25)</f>
        <v>0.65115375996636282</v>
      </c>
      <c r="O24" s="13">
        <f t="shared" si="6"/>
        <v>4.1640187437205762</v>
      </c>
    </row>
    <row r="25" spans="2:20" x14ac:dyDescent="0.35">
      <c r="H25" s="13" t="s">
        <v>85</v>
      </c>
      <c r="I25" s="13">
        <f>I17/$I$18</f>
        <v>6.8894305745345788E-2</v>
      </c>
      <c r="J25" s="13">
        <f t="shared" si="2"/>
        <v>8.5963710090127737E-2</v>
      </c>
      <c r="K25" s="13">
        <f t="shared" si="3"/>
        <v>2.4230674656958464E-2</v>
      </c>
      <c r="L25" s="13">
        <f t="shared" si="4"/>
        <v>6.2387574973362912E-2</v>
      </c>
      <c r="M25" s="63">
        <f t="shared" si="5"/>
        <v>6.0369066366448731E-2</v>
      </c>
      <c r="N25" s="13">
        <f>MMULT(I17:L17,$M$22:$M$25)</f>
        <v>0.24493174499829168</v>
      </c>
      <c r="O25" s="13">
        <f t="shared" si="6"/>
        <v>4.0572392408973412</v>
      </c>
    </row>
    <row r="26" spans="2:20" x14ac:dyDescent="0.35">
      <c r="H26" s="13" t="s">
        <v>88</v>
      </c>
      <c r="I26" s="13">
        <f>SUM(I22:I25)</f>
        <v>1</v>
      </c>
      <c r="J26" s="13">
        <f t="shared" ref="J26" si="7">SUM(J22:J25)</f>
        <v>1</v>
      </c>
      <c r="K26" s="13">
        <f t="shared" ref="K26" si="8">SUM(K22:K25)</f>
        <v>1.0000000000000002</v>
      </c>
      <c r="L26" s="13">
        <f t="shared" ref="L26" si="9">SUM(L22:L25)</f>
        <v>1</v>
      </c>
      <c r="M26" s="62"/>
    </row>
    <row r="27" spans="2:20" x14ac:dyDescent="0.35">
      <c r="O27" s="13" t="s">
        <v>93</v>
      </c>
      <c r="P27" s="13">
        <f>AVERAGE(O22:O25)</f>
        <v>4.2371401501126789</v>
      </c>
      <c r="Q27" s="97" t="s">
        <v>130</v>
      </c>
      <c r="R27" s="98"/>
      <c r="S27" s="98"/>
      <c r="T27" s="99"/>
    </row>
    <row r="28" spans="2:20" x14ac:dyDescent="0.35">
      <c r="O28" s="13" t="s">
        <v>94</v>
      </c>
      <c r="P28" s="13">
        <v>4</v>
      </c>
      <c r="Q28" s="100" t="str">
        <f>IF(P31&lt;=0.1,"Konsisten","Tidak Konsisten")</f>
        <v>Konsisten</v>
      </c>
      <c r="R28" s="101"/>
      <c r="S28" s="101"/>
      <c r="T28" s="102"/>
    </row>
    <row r="29" spans="2:20" x14ac:dyDescent="0.35">
      <c r="O29" s="13" t="s">
        <v>95</v>
      </c>
      <c r="P29" s="13">
        <f>(P27-P28)/(P28-1)</f>
        <v>7.9046716704226291E-2</v>
      </c>
      <c r="Q29" s="59" t="s">
        <v>100</v>
      </c>
      <c r="R29" s="60"/>
      <c r="S29" s="60"/>
      <c r="T29" s="61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8.78296852269181E-2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103" t="s">
        <v>81</v>
      </c>
      <c r="C36" s="103"/>
      <c r="D36" s="103"/>
      <c r="E36" s="103"/>
      <c r="F36" s="103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81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103" t="s">
        <v>86</v>
      </c>
      <c r="C42" s="103"/>
      <c r="D42" s="103"/>
      <c r="E42" s="103"/>
      <c r="F42" s="103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81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10">GEOMEAN(E38,E44,E50)</f>
        <v>2.924017738212866</v>
      </c>
      <c r="L45" s="13">
        <f t="shared" si="10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10"/>
        <v>2.4662120743304699</v>
      </c>
      <c r="L46" s="13">
        <f t="shared" si="10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10"/>
        <v>1.6134286460245437</v>
      </c>
    </row>
    <row r="48" spans="1:12" x14ac:dyDescent="0.35">
      <c r="B48" s="103" t="s">
        <v>87</v>
      </c>
      <c r="C48" s="103"/>
      <c r="D48" s="103"/>
      <c r="E48" s="103"/>
      <c r="F48" s="103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" si="11">SUM(J45:J48)</f>
        <v>3.5008027517184481</v>
      </c>
      <c r="K49" s="13">
        <f t="shared" ref="K49" si="12">SUM(K45:K48)</f>
        <v>7.0100279067844289</v>
      </c>
      <c r="L49" s="13">
        <f t="shared" ref="L49" si="13">SUM(L45:L48)</f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81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3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4">I46/$I$49</f>
        <v>0.2948531816878659</v>
      </c>
      <c r="J54" s="13">
        <f t="shared" ref="J54:J56" si="15">J46/$J$49</f>
        <v>0.28564876998829125</v>
      </c>
      <c r="K54" s="13">
        <f t="shared" ref="K54:K56" si="16">K46/$K$49</f>
        <v>0.35181201945624585</v>
      </c>
      <c r="L54" s="13">
        <f t="shared" ref="L54:L56" si="17">L46/$L$49</f>
        <v>0.189028471386155</v>
      </c>
      <c r="M54" s="63">
        <f t="shared" ref="M54:M56" si="18">SUM(I54:L54)/4</f>
        <v>0.28033561062963952</v>
      </c>
      <c r="N54" s="13">
        <f>MMULT(I46:L46,$M$53:$M$56)</f>
        <v>1.1356728454306744</v>
      </c>
      <c r="O54" s="13">
        <f t="shared" ref="O54:O56" si="19">N54/M54</f>
        <v>4.0511187389997652</v>
      </c>
    </row>
    <row r="55" spans="1:19" x14ac:dyDescent="0.35">
      <c r="H55" s="13" t="s">
        <v>104</v>
      </c>
      <c r="I55" s="13">
        <f t="shared" si="14"/>
        <v>0.15857485656889408</v>
      </c>
      <c r="J55" s="13">
        <f t="shared" si="15"/>
        <v>0.11582490125705815</v>
      </c>
      <c r="K55" s="13">
        <f t="shared" si="16"/>
        <v>0.14265278445356577</v>
      </c>
      <c r="L55" s="13">
        <f t="shared" si="17"/>
        <v>0.15943278743914016</v>
      </c>
      <c r="M55" s="63">
        <f t="shared" si="18"/>
        <v>0.14412133242966454</v>
      </c>
      <c r="N55" s="13">
        <f t="shared" ref="N55:N56" si="20">MMULT(I47:L47,$M$53:$M$56)</f>
        <v>0.58795161254946959</v>
      </c>
      <c r="O55" s="13">
        <f t="shared" si="19"/>
        <v>4.0795599279961365</v>
      </c>
    </row>
    <row r="56" spans="1:19" x14ac:dyDescent="0.35">
      <c r="H56" s="13" t="s">
        <v>20</v>
      </c>
      <c r="I56" s="13">
        <f t="shared" si="14"/>
        <v>8.2896268301232548E-2</v>
      </c>
      <c r="J56" s="13">
        <f t="shared" si="15"/>
        <v>0.14932516786845609</v>
      </c>
      <c r="K56" s="13">
        <f t="shared" si="16"/>
        <v>8.8415923942505553E-2</v>
      </c>
      <c r="L56" s="13">
        <f t="shared" si="17"/>
        <v>9.8816137814324426E-2</v>
      </c>
      <c r="M56" s="63">
        <f t="shared" si="18"/>
        <v>0.10486337448162966</v>
      </c>
      <c r="N56" s="13">
        <f t="shared" si="20"/>
        <v>0.42488561959922588</v>
      </c>
      <c r="O56" s="13">
        <f t="shared" si="19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21">SUM(J53:J56)</f>
        <v>1</v>
      </c>
      <c r="K57" s="13">
        <f>SUM(K53:K56)</f>
        <v>1.0000000000000002</v>
      </c>
      <c r="L57" s="13">
        <f t="shared" ref="L57" si="22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97" t="s">
        <v>130</v>
      </c>
      <c r="R58" s="98"/>
      <c r="S58" s="99"/>
    </row>
    <row r="59" spans="1:19" x14ac:dyDescent="0.35">
      <c r="O59" s="13" t="s">
        <v>94</v>
      </c>
      <c r="P59" s="13">
        <v>4</v>
      </c>
      <c r="Q59" s="100" t="str">
        <f>IF(P62&lt;=0.1,"Konsisten","Tidak Konsisten")</f>
        <v>Konsisten</v>
      </c>
      <c r="R59" s="101"/>
      <c r="S59" s="102"/>
    </row>
    <row r="60" spans="1:19" x14ac:dyDescent="0.35">
      <c r="O60" s="13" t="s">
        <v>95</v>
      </c>
      <c r="P60" s="13">
        <f>(P58-P59)/(P59-1)</f>
        <v>2.1716386060864085E-2</v>
      </c>
      <c r="Q60" s="59" t="s">
        <v>100</v>
      </c>
      <c r="R60" s="60"/>
      <c r="S60" s="61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103" t="s">
        <v>81</v>
      </c>
      <c r="C65" s="103"/>
      <c r="D65" s="103"/>
      <c r="E65" s="103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81">
        <f>1/7</f>
        <v>0.14285714285714285</v>
      </c>
      <c r="E67" s="81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103" t="s">
        <v>86</v>
      </c>
      <c r="C70" s="103"/>
      <c r="D70" s="103"/>
      <c r="E70" s="103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103" t="s">
        <v>87</v>
      </c>
      <c r="C75" s="103"/>
      <c r="D75" s="103"/>
      <c r="E75" s="103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81">
        <f>1/7</f>
        <v>0.14285714285714285</v>
      </c>
      <c r="E77" s="81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3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23">H74/$H$76</f>
        <v>0.55678238166283811</v>
      </c>
      <c r="I81" s="13">
        <f t="shared" ref="I81:I82" si="24">I74/$I$76</f>
        <v>0.61134559327508708</v>
      </c>
      <c r="J81" s="13">
        <f t="shared" ref="J81:J82" si="25">J74/$J$76</f>
        <v>0.6443552065337006</v>
      </c>
      <c r="K81" s="63">
        <f>SUM(H81:J81)/3</f>
        <v>0.60416106049054197</v>
      </c>
      <c r="L81" s="13">
        <f>MMULT(H74:J74,$K$80:$K$82)</f>
        <v>1.8287006846876588</v>
      </c>
      <c r="M81" s="13">
        <f t="shared" ref="M81:M82" si="26">L81/K81</f>
        <v>3.0268430130251449</v>
      </c>
    </row>
    <row r="82" spans="1:18" x14ac:dyDescent="0.35">
      <c r="G82" s="13" t="s">
        <v>42</v>
      </c>
      <c r="H82" s="13">
        <f t="shared" si="23"/>
        <v>0.2910624212084304</v>
      </c>
      <c r="I82" s="13">
        <f t="shared" si="24"/>
        <v>0.22158839974971287</v>
      </c>
      <c r="J82" s="13">
        <f t="shared" si="25"/>
        <v>0.23355306827565697</v>
      </c>
      <c r="K82" s="63">
        <f>SUM(H82:J82)/3</f>
        <v>0.24873462974460012</v>
      </c>
      <c r="L82" s="13">
        <f>MMULT(H75:J75,$K$80:$K$82)</f>
        <v>0.7491193441173486</v>
      </c>
      <c r="M82" s="13">
        <f t="shared" si="26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97" t="s">
        <v>130</v>
      </c>
      <c r="Q83" s="98"/>
      <c r="R83" s="99"/>
    </row>
    <row r="84" spans="1:18" x14ac:dyDescent="0.35">
      <c r="N84" s="13" t="s">
        <v>94</v>
      </c>
      <c r="O84" s="13">
        <v>3</v>
      </c>
      <c r="P84" s="100" t="str">
        <f>IF(O87&lt;=0.1,"Konsisten","Tidak Konsisten")</f>
        <v>Konsisten</v>
      </c>
      <c r="Q84" s="101"/>
      <c r="R84" s="102"/>
    </row>
    <row r="85" spans="1:18" x14ac:dyDescent="0.35">
      <c r="N85" s="13" t="s">
        <v>95</v>
      </c>
      <c r="O85" s="13">
        <f>(O83-O84)/(O84-1)</f>
        <v>7.4720099010157082E-3</v>
      </c>
      <c r="P85" s="59" t="s">
        <v>100</v>
      </c>
      <c r="Q85" s="60"/>
      <c r="R85" s="61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103" t="s">
        <v>81</v>
      </c>
      <c r="C90" s="103"/>
      <c r="D90" s="103"/>
      <c r="E90" s="103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1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81">
        <f>1/3</f>
        <v>0.33333333333333331</v>
      </c>
    </row>
    <row r="94" spans="1:18" x14ac:dyDescent="0.35">
      <c r="B94" s="13" t="s">
        <v>107</v>
      </c>
      <c r="C94" s="13">
        <f>1/E92</f>
        <v>1</v>
      </c>
      <c r="D94" s="13">
        <f>1/E93</f>
        <v>3</v>
      </c>
      <c r="E94" s="13">
        <v>1</v>
      </c>
    </row>
    <row r="95" spans="1:18" x14ac:dyDescent="0.35">
      <c r="B95" s="103" t="s">
        <v>86</v>
      </c>
      <c r="C95" s="103"/>
      <c r="D95" s="103"/>
      <c r="E95" s="103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13">
        <v>3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13">
        <v>1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1.4422495703074083</v>
      </c>
    </row>
    <row r="99" spans="2:18" x14ac:dyDescent="0.35">
      <c r="B99" s="13" t="s">
        <v>107</v>
      </c>
      <c r="C99" s="13">
        <f>1/E97</f>
        <v>0.33333333333333331</v>
      </c>
      <c r="D99" s="13">
        <f>1/E98</f>
        <v>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0.48074985676913612</v>
      </c>
    </row>
    <row r="100" spans="2:18" x14ac:dyDescent="0.35">
      <c r="B100" s="103" t="s">
        <v>87</v>
      </c>
      <c r="C100" s="103"/>
      <c r="D100" s="103"/>
      <c r="E100" s="103"/>
      <c r="G100" s="13" t="s">
        <v>107</v>
      </c>
      <c r="H100" s="13">
        <f>1/J98</f>
        <v>0.69336127435063477</v>
      </c>
      <c r="I100" s="13">
        <f>1/J99</f>
        <v>2.0800838230519041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1.8362184172077776</v>
      </c>
      <c r="I101" s="13">
        <f>SUM(I98:I100)</f>
        <v>10.080083823051904</v>
      </c>
      <c r="J101" s="13">
        <f>SUM(J98:J100)</f>
        <v>2.9229994270765447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1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81">
        <f>1/3</f>
        <v>0.33333333333333331</v>
      </c>
      <c r="G103" t="s">
        <v>89</v>
      </c>
    </row>
    <row r="104" spans="2:18" x14ac:dyDescent="0.35">
      <c r="B104" s="13" t="s">
        <v>107</v>
      </c>
      <c r="C104" s="13">
        <f>1/E102</f>
        <v>1</v>
      </c>
      <c r="D104" s="13">
        <f>1/E103</f>
        <v>3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0.54459752207509027</v>
      </c>
      <c r="I105" s="13">
        <f>I98/$I$101</f>
        <v>0.69443866964596723</v>
      </c>
      <c r="J105" s="13">
        <f>J98/$J$101</f>
        <v>0.49341425008416195</v>
      </c>
      <c r="K105" s="63">
        <f>SUM(H105:J105)/3</f>
        <v>0.57748348060173982</v>
      </c>
      <c r="L105" s="13">
        <f>MMULT(H98:J98,$K$105:$K$107)</f>
        <v>1.8194716317513295</v>
      </c>
      <c r="M105" s="13">
        <f>L105/K105</f>
        <v>3.1506903536971027</v>
      </c>
    </row>
    <row r="106" spans="2:18" x14ac:dyDescent="0.35">
      <c r="G106" s="13" t="s">
        <v>29</v>
      </c>
      <c r="H106" s="13">
        <f t="shared" ref="H106:H107" si="27">H99/$H$101</f>
        <v>7.7799646010727183E-2</v>
      </c>
      <c r="I106" s="13">
        <f t="shared" ref="I106:I107" si="28">I99/$I$101</f>
        <v>9.9205524235138176E-2</v>
      </c>
      <c r="J106" s="13">
        <f t="shared" ref="J106:J107" si="29">J99/$J$101</f>
        <v>0.16447141669472065</v>
      </c>
      <c r="K106" s="63">
        <f>SUM(H106:J106)/3</f>
        <v>0.11382552898019534</v>
      </c>
      <c r="L106" s="13">
        <f t="shared" ref="L106:L107" si="30">MMULT(H99:J99,$K$105:$K$107)</f>
        <v>0.34472631849556556</v>
      </c>
      <c r="M106" s="13">
        <f t="shared" ref="M106:M107" si="31">L106/K106</f>
        <v>3.028550111597065</v>
      </c>
    </row>
    <row r="107" spans="2:18" x14ac:dyDescent="0.35">
      <c r="G107" s="13" t="s">
        <v>107</v>
      </c>
      <c r="H107" s="13">
        <f t="shared" si="27"/>
        <v>0.37760283191418254</v>
      </c>
      <c r="I107" s="13">
        <f t="shared" si="28"/>
        <v>0.20635580611889456</v>
      </c>
      <c r="J107" s="13">
        <f t="shared" si="29"/>
        <v>0.34211433322111728</v>
      </c>
      <c r="K107" s="63">
        <f>SUM(H107:J107)/3</f>
        <v>0.3086909904180648</v>
      </c>
      <c r="L107" s="13">
        <f t="shared" si="30"/>
        <v>0.94586231392655717</v>
      </c>
      <c r="M107" s="13">
        <f t="shared" si="31"/>
        <v>3.0641072894468406</v>
      </c>
    </row>
    <row r="108" spans="2:18" x14ac:dyDescent="0.35">
      <c r="G108" s="13" t="s">
        <v>88</v>
      </c>
      <c r="H108" s="13">
        <f>SUM(H105:H107)</f>
        <v>1</v>
      </c>
      <c r="I108" s="13">
        <f>SUM(I105:I107)</f>
        <v>1</v>
      </c>
      <c r="J108" s="13">
        <f>SUM(J105:J107)</f>
        <v>0.99999999999999989</v>
      </c>
      <c r="N108" s="13" t="s">
        <v>93</v>
      </c>
      <c r="O108" s="13">
        <f>AVERAGE(M105:M107)</f>
        <v>3.0811159182470029</v>
      </c>
      <c r="P108" s="97" t="s">
        <v>130</v>
      </c>
      <c r="Q108" s="98"/>
      <c r="R108" s="99"/>
    </row>
    <row r="109" spans="2:18" x14ac:dyDescent="0.35">
      <c r="N109" s="13" t="s">
        <v>94</v>
      </c>
      <c r="O109" s="13">
        <v>3</v>
      </c>
      <c r="P109" s="100" t="str">
        <f>IF(O112&lt;=0.1,"Konsisten","Tidak Konsisten")</f>
        <v>Konsisten</v>
      </c>
      <c r="Q109" s="101"/>
      <c r="R109" s="102"/>
    </row>
    <row r="110" spans="2:18" x14ac:dyDescent="0.35">
      <c r="N110" s="13" t="s">
        <v>95</v>
      </c>
      <c r="O110" s="13">
        <f>(O108-O109)/(O109-1)</f>
        <v>4.0557959123501464E-2</v>
      </c>
      <c r="P110" s="59" t="s">
        <v>100</v>
      </c>
      <c r="Q110" s="60"/>
      <c r="R110" s="61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80">
        <f>O110/O111</f>
        <v>6.9927515730174944E-2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103" t="s">
        <v>81</v>
      </c>
      <c r="C115" s="103"/>
      <c r="D115" s="103"/>
      <c r="E115" s="103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103" t="s">
        <v>86</v>
      </c>
      <c r="C120" s="103"/>
      <c r="D120" s="103"/>
      <c r="E120" s="103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103" t="s">
        <v>87</v>
      </c>
      <c r="C125" s="103"/>
      <c r="D125" s="103"/>
      <c r="E125" s="103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3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32">H124/$H$126</f>
        <v>0.20372981850483116</v>
      </c>
      <c r="I131" s="13">
        <f t="shared" ref="I131:I132" si="33">I124/$I$126</f>
        <v>0.24685167704017663</v>
      </c>
      <c r="J131" s="13">
        <f t="shared" ref="J131:J132" si="34">J124/$J$126</f>
        <v>0.38687659683538933</v>
      </c>
      <c r="K131" s="63">
        <f>SUM(H131:J131)/3</f>
        <v>0.27915269746013238</v>
      </c>
      <c r="L131" s="13">
        <f t="shared" ref="L131:L132" si="35">MMULT(H124:J124,$K$130:$K$132)</f>
        <v>0.8603598580176437</v>
      </c>
      <c r="M131" s="13">
        <f t="shared" ref="M131:M132" si="36">L131/K131</f>
        <v>3.0820402806264027</v>
      </c>
    </row>
    <row r="132" spans="1:23" x14ac:dyDescent="0.35">
      <c r="G132" s="13" t="s">
        <v>109</v>
      </c>
      <c r="H132" s="13">
        <f t="shared" si="32"/>
        <v>0.29382924319739906</v>
      </c>
      <c r="I132" s="13">
        <f t="shared" si="33"/>
        <v>0.14435973647461406</v>
      </c>
      <c r="J132" s="13">
        <f t="shared" si="34"/>
        <v>0.22624680632922123</v>
      </c>
      <c r="K132" s="63">
        <f>SUM(H132:J132)/3</f>
        <v>0.22147859533374478</v>
      </c>
      <c r="L132" s="13">
        <f t="shared" si="35"/>
        <v>0.67676067469825019</v>
      </c>
      <c r="M132" s="13">
        <f t="shared" si="36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97" t="s">
        <v>130</v>
      </c>
      <c r="Q133" s="98"/>
      <c r="R133" s="99"/>
    </row>
    <row r="134" spans="1:23" x14ac:dyDescent="0.35">
      <c r="N134" s="13" t="s">
        <v>94</v>
      </c>
      <c r="O134" s="13">
        <v>3</v>
      </c>
      <c r="P134" s="100" t="str">
        <f>IF(O137&lt;=0.1,"Konsisten","Tidak Konsisten")</f>
        <v>Konsisten</v>
      </c>
      <c r="Q134" s="101"/>
      <c r="R134" s="102"/>
    </row>
    <row r="135" spans="1:23" x14ac:dyDescent="0.35">
      <c r="N135" s="13" t="s">
        <v>95</v>
      </c>
      <c r="O135" s="13">
        <f>(O133-O134)/(O134-1)</f>
        <v>4.5788724147472815E-2</v>
      </c>
      <c r="P135" s="59" t="s">
        <v>100</v>
      </c>
      <c r="Q135" s="60"/>
      <c r="R135" s="61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Q28:T28"/>
    <mergeCell ref="Q27:T27"/>
    <mergeCell ref="Q59:S59"/>
    <mergeCell ref="Q58:S58"/>
    <mergeCell ref="P134:R134"/>
    <mergeCell ref="P133:R133"/>
    <mergeCell ref="P108:R108"/>
    <mergeCell ref="P109:R109"/>
    <mergeCell ref="P83:R83"/>
    <mergeCell ref="P84:R84"/>
    <mergeCell ref="B125:E125"/>
    <mergeCell ref="B65:E65"/>
    <mergeCell ref="B70:E70"/>
    <mergeCell ref="B75:E75"/>
    <mergeCell ref="B5:F5"/>
    <mergeCell ref="B11:F11"/>
    <mergeCell ref="B17:F17"/>
    <mergeCell ref="B36:F36"/>
    <mergeCell ref="B42:F42"/>
    <mergeCell ref="B48:F48"/>
    <mergeCell ref="B90:E90"/>
    <mergeCell ref="B95:E95"/>
    <mergeCell ref="B100:E100"/>
    <mergeCell ref="B115:E115"/>
    <mergeCell ref="B120:E1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EF8D-25DD-4405-B1CF-0C377D4D16B5}">
  <dimension ref="A1:T62"/>
  <sheetViews>
    <sheetView tabSelected="1" topLeftCell="I40" workbookViewId="0">
      <selection activeCell="P46" sqref="P46"/>
    </sheetView>
  </sheetViews>
  <sheetFormatPr defaultRowHeight="14.5" x14ac:dyDescent="0.35"/>
  <cols>
    <col min="1" max="1" width="13.81640625" customWidth="1"/>
    <col min="2" max="2" width="12.7265625" customWidth="1"/>
    <col min="3" max="3" width="10.36328125" customWidth="1"/>
    <col min="5" max="5" width="18.1796875" bestFit="1" customWidth="1"/>
    <col min="6" max="6" width="13.08984375" customWidth="1"/>
    <col min="7" max="7" width="18.81640625" bestFit="1" customWidth="1"/>
    <col min="8" max="9" width="12.54296875" bestFit="1" customWidth="1"/>
    <col min="10" max="10" width="19.6328125" bestFit="1" customWidth="1"/>
    <col min="11" max="11" width="21.54296875" bestFit="1" customWidth="1"/>
    <col min="12" max="12" width="19.6328125" bestFit="1" customWidth="1"/>
    <col min="13" max="13" width="25.08984375" bestFit="1" customWidth="1"/>
    <col min="14" max="14" width="19.6328125" bestFit="1" customWidth="1"/>
    <col min="15" max="15" width="21.08984375" bestFit="1" customWidth="1"/>
    <col min="16" max="16" width="19.6328125" bestFit="1" customWidth="1"/>
    <col min="17" max="17" width="18.453125" customWidth="1"/>
    <col min="18" max="18" width="26.26953125" bestFit="1" customWidth="1"/>
    <col min="19" max="19" width="12.54296875" bestFit="1" customWidth="1"/>
    <col min="20" max="20" width="11.6328125" bestFit="1" customWidth="1"/>
  </cols>
  <sheetData>
    <row r="1" spans="1:18" x14ac:dyDescent="0.35">
      <c r="A1" t="s">
        <v>110</v>
      </c>
    </row>
    <row r="3" spans="1:18" ht="15" thickBot="1" x14ac:dyDescent="0.4">
      <c r="A3" s="13" t="s">
        <v>46</v>
      </c>
      <c r="B3" s="13" t="s">
        <v>111</v>
      </c>
      <c r="C3" s="13"/>
      <c r="E3" s="106" t="s">
        <v>116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spans="1:18" x14ac:dyDescent="0.35">
      <c r="A4" s="108" t="s">
        <v>112</v>
      </c>
      <c r="B4" s="64" t="s">
        <v>21</v>
      </c>
      <c r="C4" s="65">
        <f>'AHP edit'!M53/4</f>
        <v>0.11766992061476657</v>
      </c>
      <c r="E4" s="112" t="s">
        <v>9</v>
      </c>
      <c r="F4" s="90" t="s">
        <v>23</v>
      </c>
      <c r="G4" s="91"/>
      <c r="H4" s="91"/>
      <c r="I4" s="93"/>
      <c r="J4" s="90" t="s">
        <v>24</v>
      </c>
      <c r="K4" s="91"/>
      <c r="L4" s="92"/>
      <c r="M4" s="90" t="s">
        <v>25</v>
      </c>
      <c r="N4" s="91"/>
      <c r="O4" s="92"/>
      <c r="P4" s="90" t="s">
        <v>26</v>
      </c>
      <c r="Q4" s="91"/>
      <c r="R4" s="92"/>
    </row>
    <row r="5" spans="1:18" x14ac:dyDescent="0.35">
      <c r="A5" s="109"/>
      <c r="B5" s="64" t="s">
        <v>22</v>
      </c>
      <c r="C5" s="65">
        <f>'AHP edit'!M54/4</f>
        <v>7.008390265740988E-2</v>
      </c>
      <c r="E5" s="113"/>
      <c r="F5" s="51" t="s">
        <v>21</v>
      </c>
      <c r="G5" s="48" t="s">
        <v>22</v>
      </c>
      <c r="H5" s="48" t="s">
        <v>19</v>
      </c>
      <c r="I5" s="52" t="s">
        <v>20</v>
      </c>
      <c r="J5" s="51" t="s">
        <v>27</v>
      </c>
      <c r="K5" s="48" t="s">
        <v>32</v>
      </c>
      <c r="L5" s="53" t="s">
        <v>42</v>
      </c>
      <c r="M5" s="54" t="s">
        <v>28</v>
      </c>
      <c r="N5" s="48" t="s">
        <v>29</v>
      </c>
      <c r="O5" s="53" t="s">
        <v>43</v>
      </c>
      <c r="P5" s="51" t="s">
        <v>30</v>
      </c>
      <c r="Q5" s="48" t="s">
        <v>31</v>
      </c>
      <c r="R5" s="53" t="s">
        <v>40</v>
      </c>
    </row>
    <row r="6" spans="1:18" x14ac:dyDescent="0.35">
      <c r="A6" s="109"/>
      <c r="B6" s="64" t="s">
        <v>104</v>
      </c>
      <c r="C6" s="65">
        <f>'AHP edit'!M55/4</f>
        <v>3.6030333107416136E-2</v>
      </c>
      <c r="E6" s="113"/>
      <c r="F6" s="26" t="s">
        <v>33</v>
      </c>
      <c r="G6" s="27" t="s">
        <v>34</v>
      </c>
      <c r="H6" s="27" t="s">
        <v>35</v>
      </c>
      <c r="I6" s="32" t="s">
        <v>36</v>
      </c>
      <c r="J6" s="51" t="s">
        <v>80</v>
      </c>
      <c r="K6" s="48" t="s">
        <v>80</v>
      </c>
      <c r="L6" s="55" t="s">
        <v>80</v>
      </c>
      <c r="M6" s="56" t="s">
        <v>37</v>
      </c>
      <c r="N6" s="48" t="s">
        <v>80</v>
      </c>
      <c r="O6" s="55" t="s">
        <v>44</v>
      </c>
      <c r="P6" s="26" t="s">
        <v>80</v>
      </c>
      <c r="Q6" s="27" t="s">
        <v>39</v>
      </c>
      <c r="R6" s="55" t="s">
        <v>41</v>
      </c>
    </row>
    <row r="7" spans="1:18" x14ac:dyDescent="0.35">
      <c r="A7" s="110"/>
      <c r="B7" s="64" t="s">
        <v>20</v>
      </c>
      <c r="C7" s="65">
        <f>'AHP edit'!M56/4</f>
        <v>2.6215843620407416E-2</v>
      </c>
      <c r="E7" s="21" t="s">
        <v>10</v>
      </c>
      <c r="F7" s="39">
        <v>200</v>
      </c>
      <c r="G7" s="14">
        <v>4500000</v>
      </c>
      <c r="H7" s="13">
        <v>180</v>
      </c>
      <c r="I7" s="33">
        <v>35</v>
      </c>
      <c r="J7" s="19">
        <v>7</v>
      </c>
      <c r="K7" s="13">
        <v>3</v>
      </c>
      <c r="L7" s="15">
        <v>7</v>
      </c>
      <c r="M7" s="19">
        <v>2</v>
      </c>
      <c r="N7" s="13">
        <v>5</v>
      </c>
      <c r="O7" s="15">
        <v>8</v>
      </c>
      <c r="P7" s="19">
        <v>6</v>
      </c>
      <c r="Q7" s="13">
        <v>2</v>
      </c>
      <c r="R7" s="15">
        <v>1</v>
      </c>
    </row>
    <row r="8" spans="1:18" x14ac:dyDescent="0.35">
      <c r="A8" s="108" t="s">
        <v>113</v>
      </c>
      <c r="B8" s="64" t="s">
        <v>56</v>
      </c>
      <c r="C8" s="65">
        <f>'AHP edit'!K80/4</f>
        <v>3.6776077441214493E-2</v>
      </c>
      <c r="E8" s="21" t="s">
        <v>11</v>
      </c>
      <c r="F8" s="39">
        <v>240</v>
      </c>
      <c r="G8" s="14">
        <v>4200000</v>
      </c>
      <c r="H8" s="13">
        <v>200</v>
      </c>
      <c r="I8" s="33">
        <v>40</v>
      </c>
      <c r="J8" s="19">
        <v>3</v>
      </c>
      <c r="K8" s="13">
        <v>5</v>
      </c>
      <c r="L8" s="15">
        <v>5</v>
      </c>
      <c r="M8" s="19">
        <v>1</v>
      </c>
      <c r="N8" s="13">
        <v>3</v>
      </c>
      <c r="O8" s="15">
        <v>5</v>
      </c>
      <c r="P8" s="19">
        <v>5</v>
      </c>
      <c r="Q8" s="13">
        <v>5</v>
      </c>
      <c r="R8" s="15">
        <v>3</v>
      </c>
    </row>
    <row r="9" spans="1:18" x14ac:dyDescent="0.35">
      <c r="A9" s="109"/>
      <c r="B9" s="64" t="s">
        <v>105</v>
      </c>
      <c r="C9" s="65">
        <f>'AHP edit'!K81/4</f>
        <v>0.15104026512263549</v>
      </c>
      <c r="E9" s="21" t="s">
        <v>12</v>
      </c>
      <c r="F9" s="39">
        <v>160</v>
      </c>
      <c r="G9" s="14">
        <v>4800000</v>
      </c>
      <c r="H9" s="13">
        <v>200</v>
      </c>
      <c r="I9" s="33">
        <v>38</v>
      </c>
      <c r="J9" s="19">
        <v>5</v>
      </c>
      <c r="K9" s="13">
        <v>5</v>
      </c>
      <c r="L9" s="15">
        <v>6</v>
      </c>
      <c r="M9" s="19">
        <v>1</v>
      </c>
      <c r="N9" s="13">
        <v>7</v>
      </c>
      <c r="O9" s="15">
        <v>5</v>
      </c>
      <c r="P9" s="19">
        <v>7</v>
      </c>
      <c r="Q9" s="13">
        <v>3</v>
      </c>
      <c r="R9" s="15">
        <v>5</v>
      </c>
    </row>
    <row r="10" spans="1:18" x14ac:dyDescent="0.35">
      <c r="A10" s="110"/>
      <c r="B10" s="64" t="s">
        <v>42</v>
      </c>
      <c r="C10" s="65">
        <f>'AHP edit'!K82/4</f>
        <v>6.2183657436150029E-2</v>
      </c>
      <c r="E10" s="21" t="s">
        <v>13</v>
      </c>
      <c r="F10" s="39">
        <v>220</v>
      </c>
      <c r="G10" s="14">
        <v>4300000</v>
      </c>
      <c r="H10" s="13">
        <v>220</v>
      </c>
      <c r="I10" s="33">
        <v>45</v>
      </c>
      <c r="J10" s="19">
        <v>5</v>
      </c>
      <c r="K10" s="13">
        <v>7</v>
      </c>
      <c r="L10" s="15">
        <v>6</v>
      </c>
      <c r="M10" s="19">
        <v>2</v>
      </c>
      <c r="N10" s="13">
        <v>5</v>
      </c>
      <c r="O10" s="15">
        <v>7</v>
      </c>
      <c r="P10" s="19">
        <v>7</v>
      </c>
      <c r="Q10" s="13">
        <v>0</v>
      </c>
      <c r="R10" s="15">
        <v>1</v>
      </c>
    </row>
    <row r="11" spans="1:18" ht="15" thickBot="1" x14ac:dyDescent="0.4">
      <c r="A11" s="108" t="s">
        <v>115</v>
      </c>
      <c r="B11" s="64" t="s">
        <v>106</v>
      </c>
      <c r="C11" s="65">
        <f>'AHP edit'!K105/4</f>
        <v>0.14437087015043495</v>
      </c>
      <c r="E11" s="22" t="s">
        <v>14</v>
      </c>
      <c r="F11" s="40">
        <v>180</v>
      </c>
      <c r="G11" s="16">
        <v>4600000</v>
      </c>
      <c r="H11" s="17">
        <v>220</v>
      </c>
      <c r="I11" s="34">
        <v>37</v>
      </c>
      <c r="J11" s="20">
        <v>5</v>
      </c>
      <c r="K11" s="17">
        <v>7</v>
      </c>
      <c r="L11" s="18">
        <v>5</v>
      </c>
      <c r="M11" s="20">
        <v>1</v>
      </c>
      <c r="N11" s="17">
        <v>7</v>
      </c>
      <c r="O11" s="18">
        <v>6</v>
      </c>
      <c r="P11" s="20">
        <v>5</v>
      </c>
      <c r="Q11" s="17">
        <v>2</v>
      </c>
      <c r="R11" s="18">
        <v>3</v>
      </c>
    </row>
    <row r="12" spans="1:18" x14ac:dyDescent="0.35">
      <c r="A12" s="109"/>
      <c r="B12" s="64" t="s">
        <v>29</v>
      </c>
      <c r="C12" s="65">
        <f>'AHP edit'!K106/4</f>
        <v>2.8456382245048834E-2</v>
      </c>
    </row>
    <row r="13" spans="1:18" ht="15" thickBot="1" x14ac:dyDescent="0.4">
      <c r="A13" s="110"/>
      <c r="B13" s="64" t="s">
        <v>107</v>
      </c>
      <c r="C13" s="65">
        <f>'AHP edit'!K107/4</f>
        <v>7.7172747604516201E-2</v>
      </c>
      <c r="E13" s="106" t="s">
        <v>133</v>
      </c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</row>
    <row r="14" spans="1:18" ht="14.5" customHeight="1" x14ac:dyDescent="0.35">
      <c r="A14" s="108" t="s">
        <v>114</v>
      </c>
      <c r="B14" s="64" t="s">
        <v>30</v>
      </c>
      <c r="C14" s="65">
        <f>'AHP edit'!K130/4</f>
        <v>0.1248421768015307</v>
      </c>
      <c r="E14" s="49" t="s">
        <v>9</v>
      </c>
      <c r="F14" s="90" t="s">
        <v>23</v>
      </c>
      <c r="G14" s="91"/>
      <c r="H14" s="91"/>
      <c r="I14" s="93"/>
      <c r="J14" s="90" t="s">
        <v>24</v>
      </c>
      <c r="K14" s="91"/>
      <c r="L14" s="92"/>
      <c r="M14" s="90" t="s">
        <v>25</v>
      </c>
      <c r="N14" s="91"/>
      <c r="O14" s="92"/>
      <c r="P14" s="90" t="s">
        <v>26</v>
      </c>
      <c r="Q14" s="91"/>
      <c r="R14" s="92"/>
    </row>
    <row r="15" spans="1:18" x14ac:dyDescent="0.35">
      <c r="A15" s="109"/>
      <c r="B15" s="64" t="s">
        <v>108</v>
      </c>
      <c r="C15" s="65">
        <f>'AHP edit'!K131/4</f>
        <v>6.9788174365033095E-2</v>
      </c>
      <c r="E15" s="50"/>
      <c r="F15" s="51" t="s">
        <v>21</v>
      </c>
      <c r="G15" s="48" t="s">
        <v>22</v>
      </c>
      <c r="H15" s="48" t="s">
        <v>19</v>
      </c>
      <c r="I15" s="52" t="s">
        <v>20</v>
      </c>
      <c r="J15" s="51" t="s">
        <v>27</v>
      </c>
      <c r="K15" s="48" t="s">
        <v>32</v>
      </c>
      <c r="L15" s="53" t="s">
        <v>42</v>
      </c>
      <c r="M15" s="54" t="s">
        <v>28</v>
      </c>
      <c r="N15" s="48" t="s">
        <v>29</v>
      </c>
      <c r="O15" s="53" t="s">
        <v>43</v>
      </c>
      <c r="P15" s="51" t="s">
        <v>30</v>
      </c>
      <c r="Q15" s="48" t="s">
        <v>31</v>
      </c>
      <c r="R15" s="53" t="s">
        <v>40</v>
      </c>
    </row>
    <row r="16" spans="1:18" ht="14.5" customHeight="1" x14ac:dyDescent="0.35">
      <c r="A16" s="110"/>
      <c r="B16" s="64" t="s">
        <v>109</v>
      </c>
      <c r="C16" s="65">
        <f>'AHP edit'!K132/4</f>
        <v>5.5369648833436196E-2</v>
      </c>
      <c r="E16" s="21" t="s">
        <v>10</v>
      </c>
      <c r="F16" s="39">
        <f>F7^2</f>
        <v>40000</v>
      </c>
      <c r="G16" s="39">
        <f t="shared" ref="G16:R16" si="0">G7^2</f>
        <v>20250000000000</v>
      </c>
      <c r="H16" s="39">
        <f t="shared" si="0"/>
        <v>32400</v>
      </c>
      <c r="I16" s="39">
        <f t="shared" si="0"/>
        <v>1225</v>
      </c>
      <c r="J16" s="39">
        <f t="shared" si="0"/>
        <v>49</v>
      </c>
      <c r="K16" s="39">
        <f t="shared" si="0"/>
        <v>9</v>
      </c>
      <c r="L16" s="39">
        <f t="shared" si="0"/>
        <v>49</v>
      </c>
      <c r="M16" s="39">
        <f t="shared" si="0"/>
        <v>4</v>
      </c>
      <c r="N16" s="39">
        <f t="shared" si="0"/>
        <v>25</v>
      </c>
      <c r="O16" s="39">
        <f t="shared" si="0"/>
        <v>64</v>
      </c>
      <c r="P16" s="39">
        <f t="shared" si="0"/>
        <v>36</v>
      </c>
      <c r="Q16" s="39">
        <f t="shared" si="0"/>
        <v>4</v>
      </c>
      <c r="R16" s="39">
        <f t="shared" si="0"/>
        <v>1</v>
      </c>
    </row>
    <row r="17" spans="3:19" x14ac:dyDescent="0.35">
      <c r="C17" s="2"/>
      <c r="E17" s="21" t="s">
        <v>11</v>
      </c>
      <c r="F17" s="39">
        <f t="shared" ref="F17:R17" si="1">F8^2</f>
        <v>57600</v>
      </c>
      <c r="G17" s="39">
        <f t="shared" si="1"/>
        <v>17640000000000</v>
      </c>
      <c r="H17" s="39">
        <f t="shared" si="1"/>
        <v>40000</v>
      </c>
      <c r="I17" s="39">
        <f t="shared" si="1"/>
        <v>1600</v>
      </c>
      <c r="J17" s="39">
        <f t="shared" si="1"/>
        <v>9</v>
      </c>
      <c r="K17" s="39">
        <f t="shared" si="1"/>
        <v>25</v>
      </c>
      <c r="L17" s="39">
        <f t="shared" si="1"/>
        <v>25</v>
      </c>
      <c r="M17" s="39">
        <f t="shared" si="1"/>
        <v>1</v>
      </c>
      <c r="N17" s="39">
        <f t="shared" si="1"/>
        <v>9</v>
      </c>
      <c r="O17" s="39">
        <f t="shared" si="1"/>
        <v>25</v>
      </c>
      <c r="P17" s="39">
        <f t="shared" si="1"/>
        <v>25</v>
      </c>
      <c r="Q17" s="39">
        <f t="shared" si="1"/>
        <v>25</v>
      </c>
      <c r="R17" s="39">
        <f t="shared" si="1"/>
        <v>9</v>
      </c>
    </row>
    <row r="18" spans="3:19" x14ac:dyDescent="0.35">
      <c r="E18" s="21" t="s">
        <v>12</v>
      </c>
      <c r="F18" s="39">
        <f t="shared" ref="F18:R18" si="2">F9^2</f>
        <v>25600</v>
      </c>
      <c r="G18" s="39">
        <f t="shared" si="2"/>
        <v>23040000000000</v>
      </c>
      <c r="H18" s="39">
        <f t="shared" si="2"/>
        <v>40000</v>
      </c>
      <c r="I18" s="39">
        <f t="shared" si="2"/>
        <v>1444</v>
      </c>
      <c r="J18" s="39">
        <f t="shared" si="2"/>
        <v>25</v>
      </c>
      <c r="K18" s="39">
        <f t="shared" si="2"/>
        <v>25</v>
      </c>
      <c r="L18" s="39">
        <f t="shared" si="2"/>
        <v>36</v>
      </c>
      <c r="M18" s="39">
        <f t="shared" si="2"/>
        <v>1</v>
      </c>
      <c r="N18" s="39">
        <f t="shared" si="2"/>
        <v>49</v>
      </c>
      <c r="O18" s="39">
        <f t="shared" si="2"/>
        <v>25</v>
      </c>
      <c r="P18" s="39">
        <f t="shared" si="2"/>
        <v>49</v>
      </c>
      <c r="Q18" s="39">
        <f t="shared" si="2"/>
        <v>9</v>
      </c>
      <c r="R18" s="39">
        <f t="shared" si="2"/>
        <v>25</v>
      </c>
    </row>
    <row r="19" spans="3:19" x14ac:dyDescent="0.35">
      <c r="E19" s="21" t="s">
        <v>13</v>
      </c>
      <c r="F19" s="39">
        <f t="shared" ref="F19:R19" si="3">F10^2</f>
        <v>48400</v>
      </c>
      <c r="G19" s="39">
        <f t="shared" si="3"/>
        <v>18490000000000</v>
      </c>
      <c r="H19" s="39">
        <f t="shared" si="3"/>
        <v>48400</v>
      </c>
      <c r="I19" s="39">
        <f t="shared" si="3"/>
        <v>2025</v>
      </c>
      <c r="J19" s="39">
        <f t="shared" si="3"/>
        <v>25</v>
      </c>
      <c r="K19" s="39">
        <f t="shared" si="3"/>
        <v>49</v>
      </c>
      <c r="L19" s="39">
        <f t="shared" si="3"/>
        <v>36</v>
      </c>
      <c r="M19" s="39">
        <f t="shared" si="3"/>
        <v>4</v>
      </c>
      <c r="N19" s="39">
        <f t="shared" si="3"/>
        <v>25</v>
      </c>
      <c r="O19" s="39">
        <f t="shared" si="3"/>
        <v>49</v>
      </c>
      <c r="P19" s="39">
        <f t="shared" si="3"/>
        <v>49</v>
      </c>
      <c r="Q19" s="66">
        <f>Q10^2</f>
        <v>0</v>
      </c>
      <c r="R19" s="39">
        <f t="shared" si="3"/>
        <v>1</v>
      </c>
    </row>
    <row r="20" spans="3:19" ht="15" thickBot="1" x14ac:dyDescent="0.4">
      <c r="E20" s="22" t="s">
        <v>14</v>
      </c>
      <c r="F20" s="39">
        <f t="shared" ref="F20:R20" si="4">F11^2</f>
        <v>32400</v>
      </c>
      <c r="G20" s="39">
        <f t="shared" si="4"/>
        <v>21160000000000</v>
      </c>
      <c r="H20" s="39">
        <f t="shared" si="4"/>
        <v>48400</v>
      </c>
      <c r="I20" s="39">
        <f t="shared" si="4"/>
        <v>1369</v>
      </c>
      <c r="J20" s="39">
        <f t="shared" si="4"/>
        <v>25</v>
      </c>
      <c r="K20" s="39">
        <f t="shared" si="4"/>
        <v>49</v>
      </c>
      <c r="L20" s="39">
        <f t="shared" si="4"/>
        <v>25</v>
      </c>
      <c r="M20" s="39">
        <f t="shared" si="4"/>
        <v>1</v>
      </c>
      <c r="N20" s="39">
        <f t="shared" si="4"/>
        <v>49</v>
      </c>
      <c r="O20" s="39">
        <f t="shared" si="4"/>
        <v>36</v>
      </c>
      <c r="P20" s="39">
        <f t="shared" si="4"/>
        <v>25</v>
      </c>
      <c r="Q20" s="39">
        <f t="shared" si="4"/>
        <v>4</v>
      </c>
      <c r="R20" s="39">
        <f t="shared" si="4"/>
        <v>9</v>
      </c>
    </row>
    <row r="22" spans="3:19" ht="15" thickBot="1" x14ac:dyDescent="0.4">
      <c r="E22" s="106" t="s">
        <v>134</v>
      </c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</row>
    <row r="23" spans="3:19" x14ac:dyDescent="0.35">
      <c r="E23" s="49" t="s">
        <v>9</v>
      </c>
      <c r="F23" s="90" t="s">
        <v>23</v>
      </c>
      <c r="G23" s="91"/>
      <c r="H23" s="91"/>
      <c r="I23" s="93"/>
      <c r="J23" s="90" t="s">
        <v>24</v>
      </c>
      <c r="K23" s="91"/>
      <c r="L23" s="92"/>
      <c r="M23" s="90" t="s">
        <v>25</v>
      </c>
      <c r="N23" s="91"/>
      <c r="O23" s="92"/>
      <c r="P23" s="90" t="s">
        <v>26</v>
      </c>
      <c r="Q23" s="91"/>
      <c r="R23" s="92"/>
    </row>
    <row r="24" spans="3:19" x14ac:dyDescent="0.35">
      <c r="E24" s="50"/>
      <c r="F24" s="51" t="s">
        <v>21</v>
      </c>
      <c r="G24" s="48" t="s">
        <v>22</v>
      </c>
      <c r="H24" s="48" t="s">
        <v>19</v>
      </c>
      <c r="I24" s="52" t="s">
        <v>20</v>
      </c>
      <c r="J24" s="51" t="s">
        <v>27</v>
      </c>
      <c r="K24" s="48" t="s">
        <v>32</v>
      </c>
      <c r="L24" s="53" t="s">
        <v>42</v>
      </c>
      <c r="M24" s="54" t="s">
        <v>28</v>
      </c>
      <c r="N24" s="48" t="s">
        <v>29</v>
      </c>
      <c r="O24" s="53" t="s">
        <v>43</v>
      </c>
      <c r="P24" s="51" t="s">
        <v>30</v>
      </c>
      <c r="Q24" s="48" t="s">
        <v>31</v>
      </c>
      <c r="R24" s="53" t="s">
        <v>40</v>
      </c>
    </row>
    <row r="25" spans="3:19" x14ac:dyDescent="0.35">
      <c r="E25" s="21" t="s">
        <v>10</v>
      </c>
      <c r="F25" s="67">
        <f>F7/SQRT(SUM($F$16:$F$20))</f>
        <v>0.44280744277004763</v>
      </c>
      <c r="G25" s="67">
        <f>G7/SQRT(SUM($G$16:$G$20))</f>
        <v>0.44870064945089794</v>
      </c>
      <c r="H25" s="67">
        <f>H7/SQRT(SUM($H$16:$H$20))</f>
        <v>0.39354252250196348</v>
      </c>
      <c r="I25" s="67">
        <f>I7/SQRT(SUM($I$16:$I$20))</f>
        <v>0.39982378997521506</v>
      </c>
      <c r="J25" s="67">
        <f>J7/SQRT(SUM($J$16:$J$20))</f>
        <v>0.60697697866688394</v>
      </c>
      <c r="K25" s="67">
        <f>K7/SQRT(SUM($K$16:$K$20))</f>
        <v>0.23942606534028665</v>
      </c>
      <c r="L25" s="67">
        <f>L7/SQRT(SUM($L$16:$L$20))</f>
        <v>0.53530337903131076</v>
      </c>
      <c r="M25" s="67">
        <f>M7/SQRT(SUM($M$16:$M$20))</f>
        <v>0.60302268915552726</v>
      </c>
      <c r="N25" s="67">
        <f>N7/SQRT(SUM($N$16:$N$20))</f>
        <v>0.39904344223381105</v>
      </c>
      <c r="O25" s="67">
        <f>O7/SQRT(SUM($O$16:$O$20))</f>
        <v>0.56710496400666865</v>
      </c>
      <c r="P25" s="67">
        <f>P7/SQRT(SUM($P$16:$P$20))</f>
        <v>0.44232586846469141</v>
      </c>
      <c r="Q25" s="67">
        <f>Q7/SQRT(SUM($Q$16:$Q$20))</f>
        <v>0.30860669992418382</v>
      </c>
      <c r="R25" s="67">
        <f>R7/SQRT(SUM($R$16:$R$20))</f>
        <v>0.14907119849998599</v>
      </c>
    </row>
    <row r="26" spans="3:19" x14ac:dyDescent="0.35">
      <c r="E26" s="21" t="s">
        <v>11</v>
      </c>
      <c r="F26" s="67">
        <f t="shared" ref="F26:F29" si="5">F8/SQRT(SUM($F$16:$F$20))</f>
        <v>0.53136893132405716</v>
      </c>
      <c r="G26" s="67">
        <f t="shared" ref="G26:G29" si="6">G8/SQRT(SUM($G$16:$G$20))</f>
        <v>0.41878727282083805</v>
      </c>
      <c r="H26" s="67">
        <f t="shared" ref="H26:H29" si="7">H8/SQRT(SUM($H$16:$H$20))</f>
        <v>0.43726946944662609</v>
      </c>
      <c r="I26" s="67">
        <f t="shared" ref="I26:I29" si="8">I8/SQRT(SUM($I$16:$I$20))</f>
        <v>0.45694147425738862</v>
      </c>
      <c r="J26" s="67">
        <f t="shared" ref="J26:J29" si="9">J8/SQRT(SUM($J$16:$J$20))</f>
        <v>0.26013299085723596</v>
      </c>
      <c r="K26" s="67">
        <f t="shared" ref="K26:K29" si="10">K8/SQRT(SUM($K$16:$K$20))</f>
        <v>0.39904344223381105</v>
      </c>
      <c r="L26" s="67">
        <f t="shared" ref="L26:L29" si="11">L8/SQRT(SUM($L$16:$L$20))</f>
        <v>0.38235955645093628</v>
      </c>
      <c r="M26" s="67">
        <f t="shared" ref="M26:M29" si="12">M8/SQRT(SUM($M$16:$M$20))</f>
        <v>0.30151134457776363</v>
      </c>
      <c r="N26" s="67">
        <f t="shared" ref="N26:N29" si="13">N8/SQRT(SUM($N$16:$N$20))</f>
        <v>0.23942606534028665</v>
      </c>
      <c r="O26" s="67">
        <f t="shared" ref="O26:O29" si="14">O8/SQRT(SUM($O$16:$O$20))</f>
        <v>0.35444060250416792</v>
      </c>
      <c r="P26" s="67">
        <f t="shared" ref="P26:P29" si="15">P8/SQRT(SUM($P$16:$P$20))</f>
        <v>0.36860489038724281</v>
      </c>
      <c r="Q26" s="67">
        <f t="shared" ref="Q26:Q29" si="16">Q8/SQRT(SUM($Q$16:$Q$20))</f>
        <v>0.77151674981045948</v>
      </c>
      <c r="R26" s="67">
        <f t="shared" ref="R26:R29" si="17">R8/SQRT(SUM($R$16:$R$20))</f>
        <v>0.44721359549995793</v>
      </c>
    </row>
    <row r="27" spans="3:19" x14ac:dyDescent="0.35">
      <c r="E27" s="21" t="s">
        <v>12</v>
      </c>
      <c r="F27" s="67">
        <f t="shared" si="5"/>
        <v>0.35424595421603811</v>
      </c>
      <c r="G27" s="67">
        <f t="shared" si="6"/>
        <v>0.47861402608095777</v>
      </c>
      <c r="H27" s="67">
        <f t="shared" si="7"/>
        <v>0.43726946944662609</v>
      </c>
      <c r="I27" s="67">
        <f t="shared" si="8"/>
        <v>0.4340944005445192</v>
      </c>
      <c r="J27" s="67">
        <f t="shared" si="9"/>
        <v>0.43355498476205995</v>
      </c>
      <c r="K27" s="67">
        <f t="shared" si="10"/>
        <v>0.39904344223381105</v>
      </c>
      <c r="L27" s="67">
        <f t="shared" si="11"/>
        <v>0.45883146774112354</v>
      </c>
      <c r="M27" s="67">
        <f t="shared" si="12"/>
        <v>0.30151134457776363</v>
      </c>
      <c r="N27" s="67">
        <f t="shared" si="13"/>
        <v>0.55866081912733556</v>
      </c>
      <c r="O27" s="67">
        <f t="shared" si="14"/>
        <v>0.35444060250416792</v>
      </c>
      <c r="P27" s="67">
        <f t="shared" si="15"/>
        <v>0.51604684654213995</v>
      </c>
      <c r="Q27" s="67">
        <f t="shared" si="16"/>
        <v>0.46291004988627571</v>
      </c>
      <c r="R27" s="67">
        <f t="shared" si="17"/>
        <v>0.7453559924999299</v>
      </c>
    </row>
    <row r="28" spans="3:19" x14ac:dyDescent="0.35">
      <c r="E28" s="21" t="s">
        <v>13</v>
      </c>
      <c r="F28" s="67">
        <f t="shared" si="5"/>
        <v>0.48708818704705242</v>
      </c>
      <c r="G28" s="67">
        <f t="shared" si="6"/>
        <v>0.42875839836419133</v>
      </c>
      <c r="H28" s="67">
        <f t="shared" si="7"/>
        <v>0.48099641639128871</v>
      </c>
      <c r="I28" s="67">
        <f t="shared" si="8"/>
        <v>0.51405915853956219</v>
      </c>
      <c r="J28" s="67">
        <f t="shared" si="9"/>
        <v>0.43355498476205995</v>
      </c>
      <c r="K28" s="67">
        <f t="shared" si="10"/>
        <v>0.55866081912733556</v>
      </c>
      <c r="L28" s="67">
        <f t="shared" si="11"/>
        <v>0.45883146774112354</v>
      </c>
      <c r="M28" s="67">
        <f t="shared" si="12"/>
        <v>0.60302268915552726</v>
      </c>
      <c r="N28" s="67">
        <f t="shared" si="13"/>
        <v>0.39904344223381105</v>
      </c>
      <c r="O28" s="67">
        <f t="shared" si="14"/>
        <v>0.49621684350583511</v>
      </c>
      <c r="P28" s="67">
        <f t="shared" si="15"/>
        <v>0.51604684654213995</v>
      </c>
      <c r="Q28" s="67">
        <f t="shared" si="16"/>
        <v>0</v>
      </c>
      <c r="R28" s="67">
        <f t="shared" si="17"/>
        <v>0.14907119849998599</v>
      </c>
    </row>
    <row r="29" spans="3:19" ht="15" thickBot="1" x14ac:dyDescent="0.4">
      <c r="E29" s="22" t="s">
        <v>14</v>
      </c>
      <c r="F29" s="67">
        <f t="shared" si="5"/>
        <v>0.3985266984930429</v>
      </c>
      <c r="G29" s="67">
        <f t="shared" si="6"/>
        <v>0.45867177499425121</v>
      </c>
      <c r="H29" s="67">
        <f t="shared" si="7"/>
        <v>0.48099641639128871</v>
      </c>
      <c r="I29" s="67">
        <f t="shared" si="8"/>
        <v>0.42267086368808449</v>
      </c>
      <c r="J29" s="67">
        <f t="shared" si="9"/>
        <v>0.43355498476205995</v>
      </c>
      <c r="K29" s="67">
        <f t="shared" si="10"/>
        <v>0.55866081912733556</v>
      </c>
      <c r="L29" s="67">
        <f t="shared" si="11"/>
        <v>0.38235955645093628</v>
      </c>
      <c r="M29" s="67">
        <f t="shared" si="12"/>
        <v>0.30151134457776363</v>
      </c>
      <c r="N29" s="67">
        <f t="shared" si="13"/>
        <v>0.55866081912733556</v>
      </c>
      <c r="O29" s="67">
        <f t="shared" si="14"/>
        <v>0.42532872300500152</v>
      </c>
      <c r="P29" s="67">
        <f t="shared" si="15"/>
        <v>0.36860489038724281</v>
      </c>
      <c r="Q29" s="67">
        <f t="shared" si="16"/>
        <v>0.30860669992418382</v>
      </c>
      <c r="R29" s="67">
        <f t="shared" si="17"/>
        <v>0.44721359549995793</v>
      </c>
    </row>
    <row r="30" spans="3:19" x14ac:dyDescent="0.35">
      <c r="E30" s="7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</row>
    <row r="31" spans="3:19" ht="15" thickBot="1" x14ac:dyDescent="0.4">
      <c r="E31" s="107" t="s">
        <v>132</v>
      </c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</row>
    <row r="32" spans="3:19" x14ac:dyDescent="0.35">
      <c r="E32" s="49" t="s">
        <v>9</v>
      </c>
      <c r="F32" s="90" t="s">
        <v>23</v>
      </c>
      <c r="G32" s="91"/>
      <c r="H32" s="91"/>
      <c r="I32" s="93"/>
      <c r="J32" s="90" t="s">
        <v>24</v>
      </c>
      <c r="K32" s="91"/>
      <c r="L32" s="92"/>
      <c r="M32" s="90" t="s">
        <v>25</v>
      </c>
      <c r="N32" s="91"/>
      <c r="O32" s="92"/>
      <c r="P32" s="90" t="s">
        <v>26</v>
      </c>
      <c r="Q32" s="91"/>
      <c r="R32" s="93"/>
      <c r="S32" s="104" t="s">
        <v>120</v>
      </c>
    </row>
    <row r="33" spans="5:20" x14ac:dyDescent="0.35">
      <c r="E33" s="50"/>
      <c r="F33" s="51" t="s">
        <v>21</v>
      </c>
      <c r="G33" s="48" t="s">
        <v>22</v>
      </c>
      <c r="H33" s="48" t="s">
        <v>19</v>
      </c>
      <c r="I33" s="52" t="s">
        <v>20</v>
      </c>
      <c r="J33" s="51" t="s">
        <v>27</v>
      </c>
      <c r="K33" s="48" t="s">
        <v>32</v>
      </c>
      <c r="L33" s="53" t="s">
        <v>42</v>
      </c>
      <c r="M33" s="54" t="s">
        <v>28</v>
      </c>
      <c r="N33" s="48" t="s">
        <v>29</v>
      </c>
      <c r="O33" s="53" t="s">
        <v>43</v>
      </c>
      <c r="P33" s="51" t="s">
        <v>30</v>
      </c>
      <c r="Q33" s="48" t="s">
        <v>31</v>
      </c>
      <c r="R33" s="52" t="s">
        <v>40</v>
      </c>
      <c r="S33" s="105"/>
    </row>
    <row r="34" spans="5:20" x14ac:dyDescent="0.35">
      <c r="E34" s="21" t="s">
        <v>10</v>
      </c>
      <c r="F34" s="67">
        <f>F25*$C$4</f>
        <v>5.2105116638379294E-2</v>
      </c>
      <c r="G34" s="67">
        <f>G25*$C$5</f>
        <v>3.1446692638433325E-2</v>
      </c>
      <c r="H34" s="67">
        <f>H25*$C$6</f>
        <v>1.4179468177678555E-2</v>
      </c>
      <c r="I34" s="67">
        <f>I25*$C$7</f>
        <v>1.0481717953708856E-2</v>
      </c>
      <c r="J34" s="67">
        <f>J25*$C$8</f>
        <v>2.2322232372487722E-2</v>
      </c>
      <c r="K34" s="67">
        <f>K25*$C$9</f>
        <v>3.6162976386266345E-2</v>
      </c>
      <c r="L34" s="67">
        <f>L25*$C$10</f>
        <v>3.3287121946096607E-2</v>
      </c>
      <c r="M34" s="67">
        <f>M25*$C$11</f>
        <v>8.7058910353838725E-2</v>
      </c>
      <c r="N34" s="67">
        <f>N25*$C$12</f>
        <v>1.1355332724585391E-2</v>
      </c>
      <c r="O34" s="67">
        <f>O25*$C$13</f>
        <v>4.3765048252554888E-2</v>
      </c>
      <c r="P34" s="67">
        <f>P25*$C$14</f>
        <v>5.5220924274759615E-2</v>
      </c>
      <c r="Q34" s="67">
        <f>Q25*$C$15</f>
        <v>2.1537098184526385E-2</v>
      </c>
      <c r="R34" s="75">
        <f>R25*$C$16</f>
        <v>8.2540199121236852E-3</v>
      </c>
      <c r="S34" s="74">
        <f>SUM(F34:R34)</f>
        <v>0.4271766598154394</v>
      </c>
    </row>
    <row r="35" spans="5:20" x14ac:dyDescent="0.35">
      <c r="E35" s="21" t="s">
        <v>11</v>
      </c>
      <c r="F35" s="67">
        <f>F26*$C$4</f>
        <v>6.2526139966055161E-2</v>
      </c>
      <c r="G35" s="67">
        <f>G26*$C$5</f>
        <v>2.9350246462537768E-2</v>
      </c>
      <c r="H35" s="67">
        <f>H26*$C$6</f>
        <v>1.5754964641865061E-2</v>
      </c>
      <c r="I35" s="67">
        <f>I26*$C$7</f>
        <v>1.1979106232810122E-2</v>
      </c>
      <c r="J35" s="67">
        <f>J26*$C$8</f>
        <v>9.5666710167804508E-3</v>
      </c>
      <c r="K35" s="67">
        <f>K26*$C$9</f>
        <v>6.0271627310443901E-2</v>
      </c>
      <c r="L35" s="67">
        <f>L26*$C$10</f>
        <v>2.3776515675783292E-2</v>
      </c>
      <c r="M35" s="67">
        <f>M26*$C$11</f>
        <v>4.3529455176919363E-2</v>
      </c>
      <c r="N35" s="67">
        <f>N26*$C$12</f>
        <v>6.8131996347512349E-3</v>
      </c>
      <c r="O35" s="67">
        <f>O26*$C$13</f>
        <v>2.7353155157846806E-2</v>
      </c>
      <c r="P35" s="67">
        <f>P26*$C$14</f>
        <v>4.6017436895633014E-2</v>
      </c>
      <c r="Q35" s="67">
        <f>Q26*$C$15</f>
        <v>5.3842745461315962E-2</v>
      </c>
      <c r="R35" s="75">
        <f>R26*$C$16</f>
        <v>2.476205973637105E-2</v>
      </c>
      <c r="S35" s="74">
        <f t="shared" ref="S35:S38" si="18">SUM(F35:R35)</f>
        <v>0.41554332336911315</v>
      </c>
    </row>
    <row r="36" spans="5:20" x14ac:dyDescent="0.35">
      <c r="E36" s="21" t="s">
        <v>12</v>
      </c>
      <c r="F36" s="67">
        <f>F27*$C$4</f>
        <v>4.1684093310703434E-2</v>
      </c>
      <c r="G36" s="67">
        <f>G27*$C$5</f>
        <v>3.3543138814328875E-2</v>
      </c>
      <c r="H36" s="67">
        <f>H27*$C$6</f>
        <v>1.5754964641865061E-2</v>
      </c>
      <c r="I36" s="67">
        <f>I27*$C$7</f>
        <v>1.1380150921169615E-2</v>
      </c>
      <c r="J36" s="67">
        <f>J27*$C$8</f>
        <v>1.5944451694634085E-2</v>
      </c>
      <c r="K36" s="67">
        <f>K27*$C$9</f>
        <v>6.0271627310443901E-2</v>
      </c>
      <c r="L36" s="67">
        <f>L27*$C$10</f>
        <v>2.8531818810939948E-2</v>
      </c>
      <c r="M36" s="67">
        <f>M27*$C$11</f>
        <v>4.3529455176919363E-2</v>
      </c>
      <c r="N36" s="67">
        <f>N27*$C$12</f>
        <v>1.5897465814419549E-2</v>
      </c>
      <c r="O36" s="67">
        <f>O27*$C$13</f>
        <v>2.7353155157846806E-2</v>
      </c>
      <c r="P36" s="67">
        <f>P27*$C$14</f>
        <v>6.4424411653886224E-2</v>
      </c>
      <c r="Q36" s="67">
        <f>Q27*$C$15</f>
        <v>3.2305647276789577E-2</v>
      </c>
      <c r="R36" s="75">
        <f>R27*$C$16</f>
        <v>4.1270099560618424E-2</v>
      </c>
      <c r="S36" s="74">
        <f t="shared" si="18"/>
        <v>0.43189048014456488</v>
      </c>
    </row>
    <row r="37" spans="5:20" x14ac:dyDescent="0.35">
      <c r="E37" s="21" t="s">
        <v>13</v>
      </c>
      <c r="F37" s="67">
        <f>F28*$C$4</f>
        <v>5.7315628302217231E-2</v>
      </c>
      <c r="G37" s="67">
        <f>G28*$C$5</f>
        <v>3.0049061854502953E-2</v>
      </c>
      <c r="H37" s="67">
        <f>H28*$C$6</f>
        <v>1.7330461106051565E-2</v>
      </c>
      <c r="I37" s="67">
        <f>I28*$C$7</f>
        <v>1.3476494511911385E-2</v>
      </c>
      <c r="J37" s="67">
        <f>J28*$C$8</f>
        <v>1.5944451694634085E-2</v>
      </c>
      <c r="K37" s="67">
        <f>K28*$C$9</f>
        <v>8.4380278234621478E-2</v>
      </c>
      <c r="L37" s="67">
        <f>L28*$C$10</f>
        <v>2.8531818810939948E-2</v>
      </c>
      <c r="M37" s="67">
        <f>M28*$C$11</f>
        <v>8.7058910353838725E-2</v>
      </c>
      <c r="N37" s="67">
        <f>N28*$C$12</f>
        <v>1.1355332724585391E-2</v>
      </c>
      <c r="O37" s="67">
        <f>O28*$C$13</f>
        <v>3.8294417220985526E-2</v>
      </c>
      <c r="P37" s="67">
        <f>P28*$C$14</f>
        <v>6.4424411653886224E-2</v>
      </c>
      <c r="Q37" s="68">
        <f>Q28*$C$15</f>
        <v>0</v>
      </c>
      <c r="R37" s="75">
        <f>R28*$C$16</f>
        <v>8.2540199121236852E-3</v>
      </c>
      <c r="S37" s="74">
        <f t="shared" si="18"/>
        <v>0.45641528638029827</v>
      </c>
    </row>
    <row r="38" spans="5:20" x14ac:dyDescent="0.35">
      <c r="E38" s="70" t="s">
        <v>14</v>
      </c>
      <c r="F38" s="71">
        <f>F29*$C$4</f>
        <v>4.6894604974541371E-2</v>
      </c>
      <c r="G38" s="71">
        <f>G29*$C$5</f>
        <v>3.2145508030398506E-2</v>
      </c>
      <c r="H38" s="71">
        <f>H29*$C$6</f>
        <v>1.7330461106051565E-2</v>
      </c>
      <c r="I38" s="71">
        <f>I29*$C$7</f>
        <v>1.1080673265349361E-2</v>
      </c>
      <c r="J38" s="71">
        <f>J29*$C$8</f>
        <v>1.5944451694634085E-2</v>
      </c>
      <c r="K38" s="71">
        <f>K29*$C$9</f>
        <v>8.4380278234621478E-2</v>
      </c>
      <c r="L38" s="71">
        <f>L29*$C$10</f>
        <v>2.3776515675783292E-2</v>
      </c>
      <c r="M38" s="71">
        <f>M29*$C$11</f>
        <v>4.3529455176919363E-2</v>
      </c>
      <c r="N38" s="71">
        <f>N29*$C$12</f>
        <v>1.5897465814419549E-2</v>
      </c>
      <c r="O38" s="71">
        <f>O29*$C$13</f>
        <v>3.2823786189416164E-2</v>
      </c>
      <c r="P38" s="71">
        <f>P29*$C$14</f>
        <v>4.6017436895633014E-2</v>
      </c>
      <c r="Q38" s="71">
        <f>Q29*$C$15</f>
        <v>2.1537098184526385E-2</v>
      </c>
      <c r="R38" s="76">
        <f>R29*$C$16</f>
        <v>2.476205973637105E-2</v>
      </c>
      <c r="S38" s="74">
        <f t="shared" si="18"/>
        <v>0.41611979497866514</v>
      </c>
    </row>
    <row r="39" spans="5:20" x14ac:dyDescent="0.35">
      <c r="E39" s="6" t="s">
        <v>119</v>
      </c>
      <c r="F39" s="72">
        <f>MIN(F34:F38)</f>
        <v>4.1684093310703434E-2</v>
      </c>
      <c r="G39" s="72">
        <f t="shared" ref="G39:R39" si="19">MIN(G34:G38)</f>
        <v>2.9350246462537768E-2</v>
      </c>
      <c r="H39" s="72">
        <f t="shared" si="19"/>
        <v>1.4179468177678555E-2</v>
      </c>
      <c r="I39" s="72">
        <f t="shared" si="19"/>
        <v>1.0481717953708856E-2</v>
      </c>
      <c r="J39" s="72">
        <f t="shared" si="19"/>
        <v>9.5666710167804508E-3</v>
      </c>
      <c r="K39" s="72">
        <f t="shared" si="19"/>
        <v>3.6162976386266345E-2</v>
      </c>
      <c r="L39" s="72">
        <f t="shared" si="19"/>
        <v>2.3776515675783292E-2</v>
      </c>
      <c r="M39" s="72">
        <f t="shared" si="19"/>
        <v>4.3529455176919363E-2</v>
      </c>
      <c r="N39" s="72">
        <f t="shared" si="19"/>
        <v>6.8131996347512349E-3</v>
      </c>
      <c r="O39" s="72">
        <f t="shared" si="19"/>
        <v>2.7353155157846806E-2</v>
      </c>
      <c r="P39" s="72">
        <f t="shared" si="19"/>
        <v>4.6017436895633014E-2</v>
      </c>
      <c r="Q39" s="73">
        <f t="shared" si="19"/>
        <v>0</v>
      </c>
      <c r="R39" s="77">
        <f t="shared" si="19"/>
        <v>8.2540199121236852E-3</v>
      </c>
      <c r="S39" s="74">
        <f>SUM(F39:R39)</f>
        <v>0.29716895576073282</v>
      </c>
      <c r="T39" s="78" t="s">
        <v>122</v>
      </c>
    </row>
    <row r="40" spans="5:20" x14ac:dyDescent="0.35">
      <c r="E40" s="6" t="s">
        <v>118</v>
      </c>
      <c r="F40" s="74">
        <f>MAX(F34:F38)</f>
        <v>6.2526139966055161E-2</v>
      </c>
      <c r="G40" s="74">
        <f t="shared" ref="G40:R40" si="20">MAX(G34:G38)</f>
        <v>3.3543138814328875E-2</v>
      </c>
      <c r="H40" s="74">
        <f t="shared" si="20"/>
        <v>1.7330461106051565E-2</v>
      </c>
      <c r="I40" s="74">
        <f t="shared" si="20"/>
        <v>1.3476494511911385E-2</v>
      </c>
      <c r="J40" s="74">
        <f t="shared" si="20"/>
        <v>2.2322232372487722E-2</v>
      </c>
      <c r="K40" s="74">
        <f t="shared" si="20"/>
        <v>8.4380278234621478E-2</v>
      </c>
      <c r="L40" s="74">
        <f t="shared" si="20"/>
        <v>3.3287121946096607E-2</v>
      </c>
      <c r="M40" s="74">
        <f t="shared" si="20"/>
        <v>8.7058910353838725E-2</v>
      </c>
      <c r="N40" s="74">
        <f t="shared" si="20"/>
        <v>1.5897465814419549E-2</v>
      </c>
      <c r="O40" s="74">
        <f t="shared" si="20"/>
        <v>4.3765048252554888E-2</v>
      </c>
      <c r="P40" s="74">
        <f t="shared" si="20"/>
        <v>6.4424411653886224E-2</v>
      </c>
      <c r="Q40" s="74">
        <f t="shared" si="20"/>
        <v>5.3842745461315962E-2</v>
      </c>
      <c r="R40" s="74">
        <f t="shared" si="20"/>
        <v>4.1270099560618424E-2</v>
      </c>
      <c r="S40" s="74">
        <f>SUM(F40:R40)</f>
        <v>0.57312454804818669</v>
      </c>
      <c r="T40" s="13" t="s">
        <v>121</v>
      </c>
    </row>
    <row r="42" spans="5:20" x14ac:dyDescent="0.35">
      <c r="E42" s="96" t="s">
        <v>123</v>
      </c>
      <c r="F42" s="96"/>
      <c r="I42" s="96" t="s">
        <v>131</v>
      </c>
      <c r="J42" s="96"/>
      <c r="L42" s="96" t="s">
        <v>125</v>
      </c>
      <c r="M42" s="96"/>
      <c r="N42" s="96"/>
    </row>
    <row r="43" spans="5:20" x14ac:dyDescent="0.35">
      <c r="E43" s="13" t="s">
        <v>117</v>
      </c>
      <c r="F43" s="13" t="s">
        <v>124</v>
      </c>
      <c r="I43" s="13" t="s">
        <v>117</v>
      </c>
      <c r="J43" s="13" t="s">
        <v>129</v>
      </c>
      <c r="L43" s="13" t="s">
        <v>117</v>
      </c>
      <c r="M43" s="13" t="s">
        <v>126</v>
      </c>
      <c r="N43" s="13" t="s">
        <v>127</v>
      </c>
    </row>
    <row r="44" spans="5:20" x14ac:dyDescent="0.35">
      <c r="E44" s="13" t="s">
        <v>10</v>
      </c>
      <c r="F44" s="57">
        <f>$S$40-S34</f>
        <v>0.14594788823274729</v>
      </c>
      <c r="I44" s="13" t="s">
        <v>10</v>
      </c>
      <c r="J44" s="57">
        <f>$S$39-S34</f>
        <v>-0.13000770405470657</v>
      </c>
      <c r="L44" s="13" t="s">
        <v>10</v>
      </c>
      <c r="M44" s="13">
        <f>J44/(F44+J44)</f>
        <v>-8.1559725159139553</v>
      </c>
      <c r="N44" s="13">
        <v>4</v>
      </c>
    </row>
    <row r="45" spans="5:20" x14ac:dyDescent="0.35">
      <c r="E45" s="13" t="s">
        <v>11</v>
      </c>
      <c r="F45" s="57">
        <f t="shared" ref="F45:F48" si="21">$S$40-S35</f>
        <v>0.15758122467907354</v>
      </c>
      <c r="I45" s="13" t="s">
        <v>11</v>
      </c>
      <c r="J45" s="57">
        <f t="shared" ref="J45:J48" si="22">$S$39-S35</f>
        <v>-0.11837436760838033</v>
      </c>
      <c r="L45" s="13" t="s">
        <v>11</v>
      </c>
      <c r="M45" s="13">
        <f>J45/(F45+J45)</f>
        <v>-3.019226136768411</v>
      </c>
      <c r="N45" s="13">
        <v>2</v>
      </c>
    </row>
    <row r="46" spans="5:20" x14ac:dyDescent="0.35">
      <c r="E46" s="13" t="s">
        <v>12</v>
      </c>
      <c r="F46" s="57">
        <f t="shared" si="21"/>
        <v>0.14123406790362181</v>
      </c>
      <c r="I46" s="13" t="s">
        <v>12</v>
      </c>
      <c r="J46" s="57">
        <f t="shared" si="22"/>
        <v>-0.13472152438383206</v>
      </c>
      <c r="L46" s="13" t="s">
        <v>12</v>
      </c>
      <c r="M46" s="13">
        <f>J46/(F46+J46)</f>
        <v>-20.686468193947888</v>
      </c>
      <c r="N46" s="13">
        <v>5</v>
      </c>
    </row>
    <row r="47" spans="5:20" x14ac:dyDescent="0.35">
      <c r="E47" s="13" t="s">
        <v>13</v>
      </c>
      <c r="F47" s="57">
        <f t="shared" si="21"/>
        <v>0.11670926166788842</v>
      </c>
      <c r="I47" s="13" t="s">
        <v>13</v>
      </c>
      <c r="J47" s="57">
        <f t="shared" si="22"/>
        <v>-0.15924633061956545</v>
      </c>
      <c r="L47" s="13" t="s">
        <v>13</v>
      </c>
      <c r="M47" s="13">
        <f>J47/(F47+J47)</f>
        <v>3.7437071839734068</v>
      </c>
      <c r="N47" s="13">
        <v>1</v>
      </c>
    </row>
    <row r="48" spans="5:20" x14ac:dyDescent="0.35">
      <c r="E48" s="13" t="s">
        <v>14</v>
      </c>
      <c r="F48" s="57">
        <f t="shared" si="21"/>
        <v>0.15700475306952155</v>
      </c>
      <c r="I48" s="13" t="s">
        <v>14</v>
      </c>
      <c r="J48" s="57">
        <f t="shared" si="22"/>
        <v>-0.11895083921793231</v>
      </c>
      <c r="L48" s="13" t="s">
        <v>14</v>
      </c>
      <c r="M48" s="13">
        <f>J48/(F48+J48)</f>
        <v>-3.1258503312390453</v>
      </c>
      <c r="N48" s="58">
        <v>3</v>
      </c>
    </row>
    <row r="49" spans="14:15" x14ac:dyDescent="0.35">
      <c r="N49" s="86" t="s">
        <v>128</v>
      </c>
    </row>
    <row r="50" spans="14:15" ht="52.5" customHeight="1" x14ac:dyDescent="0.35">
      <c r="N50" s="111" t="s">
        <v>135</v>
      </c>
      <c r="O50" s="114"/>
    </row>
    <row r="51" spans="14:15" x14ac:dyDescent="0.35">
      <c r="N51" s="82"/>
    </row>
    <row r="52" spans="14:15" x14ac:dyDescent="0.35">
      <c r="N52" s="82"/>
    </row>
    <row r="53" spans="14:15" x14ac:dyDescent="0.35">
      <c r="N53" s="82"/>
    </row>
    <row r="54" spans="14:15" x14ac:dyDescent="0.35">
      <c r="N54" s="84"/>
    </row>
    <row r="57" spans="14:15" x14ac:dyDescent="0.35">
      <c r="O57" s="87"/>
    </row>
    <row r="58" spans="14:15" ht="14.5" customHeight="1" x14ac:dyDescent="0.35">
      <c r="O58" s="83"/>
    </row>
    <row r="59" spans="14:15" x14ac:dyDescent="0.35">
      <c r="O59" s="83"/>
    </row>
    <row r="60" spans="14:15" x14ac:dyDescent="0.35">
      <c r="O60" s="83"/>
    </row>
    <row r="61" spans="14:15" x14ac:dyDescent="0.35">
      <c r="O61" s="83"/>
    </row>
    <row r="62" spans="14:15" x14ac:dyDescent="0.35">
      <c r="O62" s="85"/>
    </row>
  </sheetData>
  <mergeCells count="30">
    <mergeCell ref="N50:O50"/>
    <mergeCell ref="E3:R3"/>
    <mergeCell ref="E42:F42"/>
    <mergeCell ref="L42:N42"/>
    <mergeCell ref="F14:I14"/>
    <mergeCell ref="J14:L14"/>
    <mergeCell ref="M14:O14"/>
    <mergeCell ref="P14:R14"/>
    <mergeCell ref="E4:E6"/>
    <mergeCell ref="F4:I4"/>
    <mergeCell ref="J4:L4"/>
    <mergeCell ref="M4:O4"/>
    <mergeCell ref="P4:R4"/>
    <mergeCell ref="E13:R13"/>
    <mergeCell ref="A4:A7"/>
    <mergeCell ref="A8:A10"/>
    <mergeCell ref="A11:A13"/>
    <mergeCell ref="A14:A16"/>
    <mergeCell ref="F23:I23"/>
    <mergeCell ref="S32:S33"/>
    <mergeCell ref="I42:J42"/>
    <mergeCell ref="E22:R22"/>
    <mergeCell ref="E31:R31"/>
    <mergeCell ref="J23:L23"/>
    <mergeCell ref="M23:O23"/>
    <mergeCell ref="P23:R23"/>
    <mergeCell ref="F32:I32"/>
    <mergeCell ref="J32:L32"/>
    <mergeCell ref="M32:O32"/>
    <mergeCell ref="P32:R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1C8D-1CE1-4563-8E9D-4B65EA215F75}">
  <dimension ref="B1:F6"/>
  <sheetViews>
    <sheetView workbookViewId="0">
      <selection activeCell="D15" sqref="D15"/>
    </sheetView>
  </sheetViews>
  <sheetFormatPr defaultRowHeight="14.5" x14ac:dyDescent="0.35"/>
  <cols>
    <col min="2" max="2" width="10.7265625" customWidth="1"/>
    <col min="3" max="3" width="12.36328125" customWidth="1"/>
    <col min="4" max="4" width="39.7265625" customWidth="1"/>
    <col min="5" max="5" width="33.453125" hidden="1" customWidth="1"/>
    <col min="6" max="6" width="30.36328125" customWidth="1"/>
  </cols>
  <sheetData>
    <row r="1" spans="2:6" x14ac:dyDescent="0.35">
      <c r="B1" t="s">
        <v>75</v>
      </c>
    </row>
    <row r="3" spans="2:6" x14ac:dyDescent="0.35">
      <c r="B3" s="11" t="s">
        <v>2</v>
      </c>
      <c r="C3" s="11" t="s">
        <v>16</v>
      </c>
      <c r="D3" s="11" t="s">
        <v>17</v>
      </c>
      <c r="E3" s="11" t="s">
        <v>0</v>
      </c>
      <c r="F3" s="11" t="s">
        <v>18</v>
      </c>
    </row>
    <row r="4" spans="2:6" x14ac:dyDescent="0.35">
      <c r="B4" s="6" t="s">
        <v>1</v>
      </c>
      <c r="C4" s="6" t="s">
        <v>68</v>
      </c>
      <c r="D4" s="6" t="s">
        <v>45</v>
      </c>
      <c r="E4" s="6" t="s">
        <v>5</v>
      </c>
      <c r="F4" s="12" t="s">
        <v>69</v>
      </c>
    </row>
    <row r="5" spans="2:6" x14ac:dyDescent="0.35">
      <c r="B5" s="6" t="s">
        <v>3</v>
      </c>
      <c r="C5" s="6" t="s">
        <v>68</v>
      </c>
      <c r="D5" s="6" t="s">
        <v>15</v>
      </c>
      <c r="E5" s="6" t="s">
        <v>6</v>
      </c>
      <c r="F5" s="12" t="s">
        <v>69</v>
      </c>
    </row>
    <row r="6" spans="2:6" x14ac:dyDescent="0.35">
      <c r="B6" s="6" t="s">
        <v>4</v>
      </c>
      <c r="C6" s="6" t="s">
        <v>67</v>
      </c>
      <c r="D6" s="6" t="s">
        <v>8</v>
      </c>
      <c r="E6" s="6" t="s">
        <v>7</v>
      </c>
      <c r="F6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Kuesioner Expert 3</vt:lpstr>
      <vt:lpstr>Kuesioner Expert 2</vt:lpstr>
      <vt:lpstr>Kuesioner Expert 1</vt:lpstr>
      <vt:lpstr>Supplier Info</vt:lpstr>
      <vt:lpstr>AHP</vt:lpstr>
      <vt:lpstr>AHP edit</vt:lpstr>
      <vt:lpstr>AHP-Topsis</vt:lpstr>
      <vt:lpstr>Detail 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fitriyandi</dc:creator>
  <cp:lastModifiedBy>Juli Yandi Rahman</cp:lastModifiedBy>
  <dcterms:created xsi:type="dcterms:W3CDTF">2023-08-05T10:04:50Z</dcterms:created>
  <dcterms:modified xsi:type="dcterms:W3CDTF">2023-10-16T04:32:28Z</dcterms:modified>
</cp:coreProperties>
</file>