
<file path=[Content_Types].xml><?xml version="1.0" encoding="utf-8"?>
<Types xmlns="http://schemas.openxmlformats.org/package/2006/content-types">
  <Default Extension="emf" ContentType="image/x-emf"/>
  <Default Extension="png" ContentType="image/png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externalLinks/externalLink1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drawings/drawing2.xml" ContentType="application/vnd.openxmlformats-officedocument.drawing+xml"/>
  <Override PartName="/xl/drawings/drawing3.xml" ContentType="application/vnd.openxmlformats-officedocument.drawing+xml"/>
  <Override PartName="/xl/drawings/drawing4.xml" ContentType="application/vnd.openxmlformats-officedocument.drawing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6924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ULI YANDI RAHMAN\Downloads\AHP Topsis\"/>
    </mc:Choice>
  </mc:AlternateContent>
  <xr:revisionPtr revIDLastSave="0" documentId="13_ncr:1_{73E27A8E-80F1-4B1A-9453-F904EA2B7ADF}" xr6:coauthVersionLast="47" xr6:coauthVersionMax="47" xr10:uidLastSave="{00000000-0000-0000-0000-000000000000}"/>
  <bookViews>
    <workbookView xWindow="-110" yWindow="-110" windowWidth="19420" windowHeight="10300" firstSheet="5" activeTab="8" xr2:uid="{0A15FC5E-E8D4-425B-8208-5B7AE02CB947}"/>
  </bookViews>
  <sheets>
    <sheet name="Kuesioner Expert 3" sheetId="8" r:id="rId1"/>
    <sheet name="Kuesioner Expert 2" sheetId="7" r:id="rId2"/>
    <sheet name="Kuesioner Expert 1" sheetId="4" r:id="rId3"/>
    <sheet name="Supplier Info" sheetId="1" r:id="rId4"/>
    <sheet name="AHP" sheetId="11" r:id="rId5"/>
    <sheet name="AHP edit" sheetId="9" r:id="rId6"/>
    <sheet name="AHP-Topsis Mas Yandi" sheetId="12" r:id="rId7"/>
    <sheet name="AHP-Topsis cek" sheetId="10" r:id="rId8"/>
    <sheet name="AHP-Topsis cek tugas" sheetId="13" r:id="rId9"/>
    <sheet name="Detail Expert" sheetId="2" r:id="rId10"/>
  </sheets>
  <externalReferences>
    <externalReference r:id="rId11"/>
  </externalReferences>
  <calcPr calcId="191029"/>
  <extLst>
    <ext xmlns:x15="http://schemas.microsoft.com/office/spreadsheetml/2010/11/main" uri="{140A7094-0E35-4892-8432-C4D2E57EDEB5}">
      <x15:workbookPr chartTrackingRefBase="1"/>
    </ext>
  </extLst>
</workbook>
</file>

<file path=xl/calcChain.xml><?xml version="1.0" encoding="utf-8"?>
<calcChain xmlns="http://schemas.openxmlformats.org/spreadsheetml/2006/main">
  <c r="AF21" i="13" l="1"/>
  <c r="U19" i="13"/>
  <c r="V19" i="13"/>
  <c r="W19" i="13"/>
  <c r="X19" i="13"/>
  <c r="Y19" i="13"/>
  <c r="Z19" i="13"/>
  <c r="AA19" i="13"/>
  <c r="AB19" i="13"/>
  <c r="AC19" i="13"/>
  <c r="AD19" i="13"/>
  <c r="AE19" i="13"/>
  <c r="AF19" i="13"/>
  <c r="AG19" i="13"/>
  <c r="U20" i="13"/>
  <c r="V20" i="13"/>
  <c r="W20" i="13"/>
  <c r="X20" i="13"/>
  <c r="Y20" i="13"/>
  <c r="Z20" i="13"/>
  <c r="AA20" i="13"/>
  <c r="AB20" i="13"/>
  <c r="AC20" i="13"/>
  <c r="AD20" i="13"/>
  <c r="AE20" i="13"/>
  <c r="AF20" i="13"/>
  <c r="AG20" i="13"/>
  <c r="U21" i="13"/>
  <c r="V21" i="13"/>
  <c r="W21" i="13"/>
  <c r="X21" i="13"/>
  <c r="Y21" i="13"/>
  <c r="Z21" i="13"/>
  <c r="AA21" i="13"/>
  <c r="AB21" i="13"/>
  <c r="AC21" i="13"/>
  <c r="AD21" i="13"/>
  <c r="AE21" i="13"/>
  <c r="AG21" i="13"/>
  <c r="U22" i="13"/>
  <c r="V22" i="13"/>
  <c r="W22" i="13"/>
  <c r="X22" i="13"/>
  <c r="Y22" i="13"/>
  <c r="Z22" i="13"/>
  <c r="AA22" i="13"/>
  <c r="AB22" i="13"/>
  <c r="AC22" i="13"/>
  <c r="AD22" i="13"/>
  <c r="AE22" i="13"/>
  <c r="AF22" i="13"/>
  <c r="AG22" i="13"/>
  <c r="AG18" i="13"/>
  <c r="AF18" i="13"/>
  <c r="AE18" i="13"/>
  <c r="AD18" i="13"/>
  <c r="AC18" i="13"/>
  <c r="AB18" i="13"/>
  <c r="AA18" i="13"/>
  <c r="Z18" i="13"/>
  <c r="Y18" i="13"/>
  <c r="X18" i="13"/>
  <c r="W18" i="13"/>
  <c r="V18" i="13"/>
  <c r="U18" i="13"/>
  <c r="F25" i="13"/>
  <c r="C4" i="13"/>
  <c r="F27" i="13" s="1"/>
  <c r="C16" i="13"/>
  <c r="R25" i="13" s="1"/>
  <c r="C15" i="13"/>
  <c r="C14" i="13"/>
  <c r="C13" i="13"/>
  <c r="C12" i="13"/>
  <c r="N27" i="13" s="1"/>
  <c r="C11" i="13"/>
  <c r="C10" i="13"/>
  <c r="C9" i="13"/>
  <c r="C8" i="13"/>
  <c r="C7" i="13"/>
  <c r="I25" i="13" s="1"/>
  <c r="C6" i="13"/>
  <c r="C5" i="13"/>
  <c r="G27" i="13"/>
  <c r="Q25" i="13"/>
  <c r="P25" i="13"/>
  <c r="O27" i="13"/>
  <c r="M26" i="13"/>
  <c r="L26" i="13"/>
  <c r="K26" i="13"/>
  <c r="J25" i="13"/>
  <c r="H25" i="13"/>
  <c r="O133" i="9"/>
  <c r="O135" i="9" s="1"/>
  <c r="L130" i="9"/>
  <c r="M130" i="9"/>
  <c r="R31" i="10"/>
  <c r="R53" i="10" s="1"/>
  <c r="Q31" i="10"/>
  <c r="P31" i="10"/>
  <c r="O31" i="10"/>
  <c r="N31" i="10"/>
  <c r="M31" i="10"/>
  <c r="L31" i="10"/>
  <c r="K31" i="10"/>
  <c r="K49" i="10" s="1"/>
  <c r="J31" i="10"/>
  <c r="H31" i="10"/>
  <c r="G31" i="10"/>
  <c r="F31" i="10"/>
  <c r="Q30" i="10"/>
  <c r="P30" i="10"/>
  <c r="O30" i="10"/>
  <c r="N30" i="10"/>
  <c r="M30" i="10"/>
  <c r="L30" i="10"/>
  <c r="K30" i="10"/>
  <c r="J30" i="10"/>
  <c r="J42" i="10" s="1"/>
  <c r="H30" i="10"/>
  <c r="G30" i="10"/>
  <c r="F30" i="10"/>
  <c r="R20" i="13"/>
  <c r="Q20" i="13"/>
  <c r="P20" i="13"/>
  <c r="O20" i="13"/>
  <c r="N20" i="13"/>
  <c r="M20" i="13"/>
  <c r="L20" i="13"/>
  <c r="K20" i="13"/>
  <c r="J20" i="13"/>
  <c r="I20" i="13"/>
  <c r="H20" i="13"/>
  <c r="G20" i="13"/>
  <c r="F20" i="13"/>
  <c r="R19" i="13"/>
  <c r="Q19" i="13"/>
  <c r="P19" i="13"/>
  <c r="O19" i="13"/>
  <c r="N19" i="13"/>
  <c r="M19" i="13"/>
  <c r="L19" i="13"/>
  <c r="K19" i="13"/>
  <c r="J19" i="13"/>
  <c r="I19" i="13"/>
  <c r="H19" i="13"/>
  <c r="G19" i="13"/>
  <c r="F19" i="13"/>
  <c r="R18" i="13"/>
  <c r="Q18" i="13"/>
  <c r="P18" i="13"/>
  <c r="O18" i="13"/>
  <c r="N18" i="13"/>
  <c r="M18" i="13"/>
  <c r="L18" i="13"/>
  <c r="K18" i="13"/>
  <c r="J18" i="13"/>
  <c r="I18" i="13"/>
  <c r="H18" i="13"/>
  <c r="G18" i="13"/>
  <c r="F18" i="13"/>
  <c r="R17" i="13"/>
  <c r="Q17" i="13"/>
  <c r="P17" i="13"/>
  <c r="O17" i="13"/>
  <c r="N17" i="13"/>
  <c r="M17" i="13"/>
  <c r="L17" i="13"/>
  <c r="K17" i="13"/>
  <c r="J17" i="13"/>
  <c r="I17" i="13"/>
  <c r="H17" i="13"/>
  <c r="G17" i="13"/>
  <c r="F17" i="13"/>
  <c r="R16" i="13"/>
  <c r="Q16" i="13"/>
  <c r="P16" i="13"/>
  <c r="O16" i="13"/>
  <c r="N16" i="13"/>
  <c r="M16" i="13"/>
  <c r="L16" i="13"/>
  <c r="K16" i="13"/>
  <c r="J16" i="13"/>
  <c r="I16" i="13"/>
  <c r="H16" i="13"/>
  <c r="G16" i="13"/>
  <c r="F16" i="13"/>
  <c r="O26" i="12"/>
  <c r="G26" i="12"/>
  <c r="L25" i="12"/>
  <c r="R20" i="12"/>
  <c r="Q20" i="12"/>
  <c r="P20" i="12"/>
  <c r="O20" i="12"/>
  <c r="N20" i="12"/>
  <c r="M20" i="12"/>
  <c r="L20" i="12"/>
  <c r="K20" i="12"/>
  <c r="J20" i="12"/>
  <c r="I20" i="12"/>
  <c r="H20" i="12"/>
  <c r="G20" i="12"/>
  <c r="F20" i="12"/>
  <c r="R19" i="12"/>
  <c r="Q19" i="12"/>
  <c r="P19" i="12"/>
  <c r="O19" i="12"/>
  <c r="N19" i="12"/>
  <c r="M19" i="12"/>
  <c r="L19" i="12"/>
  <c r="K19" i="12"/>
  <c r="J19" i="12"/>
  <c r="I19" i="12"/>
  <c r="H19" i="12"/>
  <c r="G19" i="12"/>
  <c r="F19" i="12"/>
  <c r="R18" i="12"/>
  <c r="Q18" i="12"/>
  <c r="P18" i="12"/>
  <c r="O18" i="12"/>
  <c r="N18" i="12"/>
  <c r="M18" i="12"/>
  <c r="L18" i="12"/>
  <c r="K18" i="12"/>
  <c r="J18" i="12"/>
  <c r="I18" i="12"/>
  <c r="H18" i="12"/>
  <c r="G18" i="12"/>
  <c r="F18" i="12"/>
  <c r="R17" i="12"/>
  <c r="Q17" i="12"/>
  <c r="P17" i="12"/>
  <c r="P29" i="12" s="1"/>
  <c r="O17" i="12"/>
  <c r="N17" i="12"/>
  <c r="M17" i="12"/>
  <c r="L17" i="12"/>
  <c r="K17" i="12"/>
  <c r="J17" i="12"/>
  <c r="I17" i="12"/>
  <c r="H17" i="12"/>
  <c r="H29" i="12" s="1"/>
  <c r="G17" i="12"/>
  <c r="F17" i="12"/>
  <c r="R16" i="12"/>
  <c r="Q16" i="12"/>
  <c r="P16" i="12"/>
  <c r="O16" i="12"/>
  <c r="N16" i="12"/>
  <c r="M16" i="12"/>
  <c r="M28" i="12" s="1"/>
  <c r="L16" i="12"/>
  <c r="K16" i="12"/>
  <c r="J16" i="12"/>
  <c r="I16" i="12"/>
  <c r="H16" i="12"/>
  <c r="G16" i="12"/>
  <c r="F16" i="12"/>
  <c r="C16" i="12"/>
  <c r="R28" i="12" s="1"/>
  <c r="C15" i="12"/>
  <c r="Q25" i="12" s="1"/>
  <c r="C14" i="12"/>
  <c r="P25" i="12" s="1"/>
  <c r="C13" i="12"/>
  <c r="O27" i="12" s="1"/>
  <c r="C12" i="12"/>
  <c r="N27" i="12" s="1"/>
  <c r="C11" i="12"/>
  <c r="M29" i="12" s="1"/>
  <c r="C10" i="12"/>
  <c r="L26" i="12" s="1"/>
  <c r="C9" i="12"/>
  <c r="K26" i="12" s="1"/>
  <c r="C8" i="12"/>
  <c r="J28" i="12" s="1"/>
  <c r="C7" i="12"/>
  <c r="I25" i="12" s="1"/>
  <c r="C6" i="12"/>
  <c r="H25" i="12" s="1"/>
  <c r="C5" i="12"/>
  <c r="G27" i="12" s="1"/>
  <c r="C4" i="12"/>
  <c r="F27" i="12" s="1"/>
  <c r="R52" i="10"/>
  <c r="Q53" i="10"/>
  <c r="Q52" i="10"/>
  <c r="Q51" i="10"/>
  <c r="Q50" i="10"/>
  <c r="Q49" i="10"/>
  <c r="P53" i="10"/>
  <c r="P52" i="10"/>
  <c r="P51" i="10"/>
  <c r="P50" i="10"/>
  <c r="P49" i="10"/>
  <c r="O53" i="10"/>
  <c r="O52" i="10"/>
  <c r="O51" i="10"/>
  <c r="O50" i="10"/>
  <c r="O49" i="10"/>
  <c r="N53" i="10"/>
  <c r="N52" i="10"/>
  <c r="N51" i="10"/>
  <c r="N50" i="10"/>
  <c r="N49" i="10"/>
  <c r="M53" i="10"/>
  <c r="M52" i="10"/>
  <c r="M51" i="10"/>
  <c r="M50" i="10"/>
  <c r="M49" i="10"/>
  <c r="L53" i="10"/>
  <c r="L52" i="10"/>
  <c r="L51" i="10"/>
  <c r="L50" i="10"/>
  <c r="L49" i="10"/>
  <c r="K50" i="10"/>
  <c r="J53" i="10"/>
  <c r="J52" i="10"/>
  <c r="J51" i="10"/>
  <c r="J50" i="10"/>
  <c r="J49" i="10"/>
  <c r="I53" i="10"/>
  <c r="I52" i="10"/>
  <c r="I51" i="10"/>
  <c r="I50" i="10"/>
  <c r="I49" i="10"/>
  <c r="H53" i="10"/>
  <c r="H52" i="10"/>
  <c r="H51" i="10"/>
  <c r="H50" i="10"/>
  <c r="H49" i="10"/>
  <c r="G53" i="10"/>
  <c r="G52" i="10"/>
  <c r="G51" i="10"/>
  <c r="G50" i="10"/>
  <c r="G49" i="10"/>
  <c r="F53" i="10"/>
  <c r="F52" i="10"/>
  <c r="F51" i="10"/>
  <c r="F50" i="10"/>
  <c r="F49" i="10"/>
  <c r="R44" i="10"/>
  <c r="R43" i="10"/>
  <c r="R42" i="10"/>
  <c r="R40" i="10"/>
  <c r="R41" i="10"/>
  <c r="Q44" i="10"/>
  <c r="Q43" i="10"/>
  <c r="Q42" i="10"/>
  <c r="Q40" i="10"/>
  <c r="Q41" i="10"/>
  <c r="P44" i="10"/>
  <c r="P43" i="10"/>
  <c r="P42" i="10"/>
  <c r="P40" i="10"/>
  <c r="P41" i="10"/>
  <c r="O44" i="10"/>
  <c r="O43" i="10"/>
  <c r="O42" i="10"/>
  <c r="O40" i="10"/>
  <c r="O41" i="10"/>
  <c r="N44" i="10"/>
  <c r="N43" i="10"/>
  <c r="N42" i="10"/>
  <c r="N40" i="10"/>
  <c r="N41" i="10"/>
  <c r="M44" i="10"/>
  <c r="M43" i="10"/>
  <c r="M42" i="10"/>
  <c r="M40" i="10"/>
  <c r="M41" i="10"/>
  <c r="L44" i="10"/>
  <c r="L43" i="10"/>
  <c r="L42" i="10"/>
  <c r="L40" i="10"/>
  <c r="L41" i="10"/>
  <c r="K44" i="10"/>
  <c r="K43" i="10"/>
  <c r="K42" i="10"/>
  <c r="K40" i="10"/>
  <c r="K41" i="10"/>
  <c r="J43" i="10"/>
  <c r="I44" i="10"/>
  <c r="I43" i="10"/>
  <c r="I42" i="10"/>
  <c r="I40" i="10"/>
  <c r="I41" i="10"/>
  <c r="H44" i="10"/>
  <c r="H43" i="10"/>
  <c r="H42" i="10"/>
  <c r="H40" i="10"/>
  <c r="H41" i="10"/>
  <c r="G44" i="10"/>
  <c r="G43" i="10"/>
  <c r="G42" i="10"/>
  <c r="G40" i="10"/>
  <c r="G41" i="10"/>
  <c r="F41" i="10"/>
  <c r="F42" i="10"/>
  <c r="F43" i="10"/>
  <c r="F44" i="10"/>
  <c r="F40" i="10"/>
  <c r="R30" i="10"/>
  <c r="I30" i="10"/>
  <c r="I31" i="10"/>
  <c r="M29" i="13" l="1"/>
  <c r="L28" i="13"/>
  <c r="J28" i="13"/>
  <c r="R28" i="13"/>
  <c r="F26" i="13"/>
  <c r="K25" i="13"/>
  <c r="G29" i="13"/>
  <c r="O29" i="13"/>
  <c r="N26" i="13"/>
  <c r="C17" i="13"/>
  <c r="K51" i="10"/>
  <c r="K52" i="10"/>
  <c r="R49" i="10"/>
  <c r="K53" i="10"/>
  <c r="R50" i="10"/>
  <c r="R51" i="10"/>
  <c r="J44" i="10"/>
  <c r="J41" i="10"/>
  <c r="J40" i="10"/>
  <c r="N29" i="13"/>
  <c r="L25" i="13"/>
  <c r="G26" i="13"/>
  <c r="O26" i="13"/>
  <c r="J27" i="13"/>
  <c r="R27" i="13"/>
  <c r="M28" i="13"/>
  <c r="H29" i="13"/>
  <c r="P29" i="13"/>
  <c r="P27" i="13"/>
  <c r="M25" i="13"/>
  <c r="H26" i="13"/>
  <c r="P26" i="13"/>
  <c r="K27" i="13"/>
  <c r="F28" i="13"/>
  <c r="N28" i="13"/>
  <c r="I29" i="13"/>
  <c r="Q29" i="13"/>
  <c r="H27" i="13"/>
  <c r="N25" i="13"/>
  <c r="I26" i="13"/>
  <c r="Q26" i="13"/>
  <c r="L27" i="13"/>
  <c r="G28" i="13"/>
  <c r="O28" i="13"/>
  <c r="J29" i="13"/>
  <c r="R29" i="13"/>
  <c r="F29" i="13"/>
  <c r="I27" i="13"/>
  <c r="G25" i="13"/>
  <c r="O25" i="13"/>
  <c r="J26" i="13"/>
  <c r="R26" i="13"/>
  <c r="M27" i="13"/>
  <c r="H28" i="13"/>
  <c r="P28" i="13"/>
  <c r="K29" i="13"/>
  <c r="I28" i="13"/>
  <c r="Q28" i="13"/>
  <c r="L29" i="13"/>
  <c r="K28" i="13"/>
  <c r="Q27" i="13"/>
  <c r="P31" i="12"/>
  <c r="I30" i="12"/>
  <c r="I40" i="12" s="1"/>
  <c r="R27" i="12"/>
  <c r="J25" i="12"/>
  <c r="R25" i="12"/>
  <c r="M26" i="12"/>
  <c r="H27" i="12"/>
  <c r="P27" i="12"/>
  <c r="P47" i="12" s="1"/>
  <c r="K28" i="12"/>
  <c r="F29" i="12"/>
  <c r="N29" i="12"/>
  <c r="J27" i="12"/>
  <c r="K25" i="12"/>
  <c r="F26" i="12"/>
  <c r="N26" i="12"/>
  <c r="I27" i="12"/>
  <c r="Q27" i="12"/>
  <c r="L28" i="12"/>
  <c r="G29" i="12"/>
  <c r="O29" i="12"/>
  <c r="M25" i="12"/>
  <c r="H26" i="12"/>
  <c r="H31" i="12" s="1"/>
  <c r="P26" i="12"/>
  <c r="P30" i="12" s="1"/>
  <c r="K27" i="12"/>
  <c r="F28" i="12"/>
  <c r="N28" i="12"/>
  <c r="I29" i="12"/>
  <c r="Q29" i="12"/>
  <c r="F25" i="12"/>
  <c r="N25" i="12"/>
  <c r="I26" i="12"/>
  <c r="I31" i="12" s="1"/>
  <c r="Q26" i="12"/>
  <c r="L27" i="12"/>
  <c r="L31" i="12" s="1"/>
  <c r="G28" i="12"/>
  <c r="O28" i="12"/>
  <c r="J29" i="12"/>
  <c r="R29" i="12"/>
  <c r="G25" i="12"/>
  <c r="O25" i="12"/>
  <c r="J26" i="12"/>
  <c r="R26" i="12"/>
  <c r="M27" i="12"/>
  <c r="H28" i="12"/>
  <c r="P28" i="12"/>
  <c r="P48" i="12" s="1"/>
  <c r="K29" i="12"/>
  <c r="I28" i="12"/>
  <c r="Q28" i="12"/>
  <c r="L29" i="12"/>
  <c r="O136" i="11"/>
  <c r="W130" i="11"/>
  <c r="D129" i="11"/>
  <c r="C129" i="11"/>
  <c r="C128" i="11"/>
  <c r="J124" i="11"/>
  <c r="I125" i="11" s="1"/>
  <c r="D124" i="11"/>
  <c r="C124" i="11"/>
  <c r="J123" i="11"/>
  <c r="I123" i="11"/>
  <c r="H124" i="11" s="1"/>
  <c r="C123" i="11"/>
  <c r="D119" i="11"/>
  <c r="C119" i="11"/>
  <c r="C118" i="11"/>
  <c r="O111" i="11"/>
  <c r="D104" i="11"/>
  <c r="C104" i="11"/>
  <c r="C103" i="11"/>
  <c r="J99" i="11"/>
  <c r="I100" i="11" s="1"/>
  <c r="D99" i="11"/>
  <c r="C99" i="11"/>
  <c r="J98" i="11"/>
  <c r="J101" i="11" s="1"/>
  <c r="I98" i="11"/>
  <c r="H99" i="11" s="1"/>
  <c r="C98" i="11"/>
  <c r="D94" i="11"/>
  <c r="C94" i="11"/>
  <c r="C93" i="11"/>
  <c r="O86" i="11"/>
  <c r="D79" i="11"/>
  <c r="E77" i="11"/>
  <c r="C79" i="11" s="1"/>
  <c r="D77" i="11"/>
  <c r="C78" i="11" s="1"/>
  <c r="J74" i="11"/>
  <c r="D74" i="11"/>
  <c r="C74" i="11"/>
  <c r="J73" i="11"/>
  <c r="C73" i="11"/>
  <c r="D69" i="11"/>
  <c r="E67" i="11"/>
  <c r="C69" i="11" s="1"/>
  <c r="D67" i="11"/>
  <c r="I73" i="11" s="1"/>
  <c r="P61" i="11"/>
  <c r="D53" i="11"/>
  <c r="C53" i="11"/>
  <c r="F52" i="11"/>
  <c r="L47" i="11" s="1"/>
  <c r="D52" i="11"/>
  <c r="C52" i="11"/>
  <c r="C51" i="11"/>
  <c r="I47" i="11"/>
  <c r="E47" i="11"/>
  <c r="C47" i="11"/>
  <c r="K46" i="11"/>
  <c r="D46" i="11"/>
  <c r="C46" i="11"/>
  <c r="L45" i="11"/>
  <c r="K45" i="11"/>
  <c r="J45" i="11"/>
  <c r="F45" i="11"/>
  <c r="D47" i="11" s="1"/>
  <c r="C45" i="11"/>
  <c r="E41" i="11"/>
  <c r="D41" i="11"/>
  <c r="C41" i="11"/>
  <c r="D40" i="11"/>
  <c r="C40" i="11"/>
  <c r="D38" i="11"/>
  <c r="C39" i="11" s="1"/>
  <c r="P30" i="11"/>
  <c r="E22" i="11"/>
  <c r="D22" i="11"/>
  <c r="C22" i="11"/>
  <c r="D21" i="11"/>
  <c r="C21" i="11"/>
  <c r="D19" i="11"/>
  <c r="J14" i="11" s="1"/>
  <c r="L16" i="11"/>
  <c r="K17" i="11" s="1"/>
  <c r="E16" i="11"/>
  <c r="D16" i="11"/>
  <c r="C16" i="11"/>
  <c r="L15" i="11"/>
  <c r="J17" i="11" s="1"/>
  <c r="C15" i="11"/>
  <c r="L14" i="11"/>
  <c r="K14" i="11"/>
  <c r="E14" i="11"/>
  <c r="K15" i="11" s="1"/>
  <c r="D13" i="11"/>
  <c r="C14" i="11" s="1"/>
  <c r="E10" i="11"/>
  <c r="D10" i="11"/>
  <c r="C10" i="11"/>
  <c r="D9" i="11"/>
  <c r="C9" i="11"/>
  <c r="C8" i="11"/>
  <c r="F30" i="13" l="1"/>
  <c r="F40" i="13" s="1"/>
  <c r="P31" i="13"/>
  <c r="P49" i="13" s="1"/>
  <c r="Q30" i="13"/>
  <c r="Q41" i="13" s="1"/>
  <c r="J31" i="13"/>
  <c r="J50" i="13" s="1"/>
  <c r="Q31" i="13"/>
  <c r="Q49" i="13" s="1"/>
  <c r="I30" i="13"/>
  <c r="I44" i="13" s="1"/>
  <c r="N30" i="13"/>
  <c r="N31" i="13"/>
  <c r="N53" i="13" s="1"/>
  <c r="F31" i="13"/>
  <c r="F52" i="13" s="1"/>
  <c r="I31" i="13"/>
  <c r="I49" i="13" s="1"/>
  <c r="R31" i="13"/>
  <c r="R51" i="13" s="1"/>
  <c r="H31" i="13"/>
  <c r="H49" i="13" s="1"/>
  <c r="R30" i="13"/>
  <c r="P30" i="13"/>
  <c r="J30" i="13"/>
  <c r="M31" i="13"/>
  <c r="M51" i="13" s="1"/>
  <c r="M30" i="13"/>
  <c r="H30" i="13"/>
  <c r="L30" i="13"/>
  <c r="L31" i="13"/>
  <c r="L49" i="13" s="1"/>
  <c r="K30" i="13"/>
  <c r="O30" i="13"/>
  <c r="O31" i="13"/>
  <c r="O50" i="13" s="1"/>
  <c r="G30" i="13"/>
  <c r="G31" i="13"/>
  <c r="G50" i="13" s="1"/>
  <c r="K31" i="13"/>
  <c r="K52" i="13" s="1"/>
  <c r="P40" i="12"/>
  <c r="P45" i="12"/>
  <c r="P49" i="12"/>
  <c r="I38" i="12"/>
  <c r="I36" i="12"/>
  <c r="I39" i="12"/>
  <c r="I37" i="12"/>
  <c r="H37" i="12"/>
  <c r="H38" i="12"/>
  <c r="H39" i="12"/>
  <c r="H40" i="12"/>
  <c r="H36" i="12"/>
  <c r="L39" i="12"/>
  <c r="L36" i="12"/>
  <c r="L37" i="12"/>
  <c r="L38" i="12"/>
  <c r="P37" i="12"/>
  <c r="P38" i="12"/>
  <c r="P39" i="12"/>
  <c r="P36" i="12"/>
  <c r="L30" i="12"/>
  <c r="M30" i="12"/>
  <c r="M46" i="12" s="1"/>
  <c r="M31" i="12"/>
  <c r="K31" i="12"/>
  <c r="K30" i="12"/>
  <c r="K45" i="12"/>
  <c r="F46" i="12"/>
  <c r="M47" i="12"/>
  <c r="I49" i="12"/>
  <c r="J31" i="12"/>
  <c r="J30" i="12"/>
  <c r="I45" i="12"/>
  <c r="N48" i="12"/>
  <c r="N49" i="12"/>
  <c r="H30" i="12"/>
  <c r="K49" i="12"/>
  <c r="H48" i="12"/>
  <c r="L49" i="12"/>
  <c r="Q46" i="12"/>
  <c r="Q30" i="12"/>
  <c r="O48" i="12"/>
  <c r="R31" i="12"/>
  <c r="R30" i="12"/>
  <c r="R46" i="12" s="1"/>
  <c r="O45" i="12"/>
  <c r="O30" i="12"/>
  <c r="O49" i="12" s="1"/>
  <c r="O31" i="12"/>
  <c r="I46" i="12"/>
  <c r="K47" i="12"/>
  <c r="I47" i="12"/>
  <c r="K48" i="12"/>
  <c r="F30" i="12"/>
  <c r="F47" i="12" s="1"/>
  <c r="F31" i="12"/>
  <c r="I48" i="12"/>
  <c r="G30" i="12"/>
  <c r="G49" i="12" s="1"/>
  <c r="G31" i="12"/>
  <c r="N45" i="12"/>
  <c r="N30" i="12"/>
  <c r="N31" i="12"/>
  <c r="P46" i="12"/>
  <c r="N46" i="12"/>
  <c r="Q31" i="12"/>
  <c r="C68" i="11"/>
  <c r="J126" i="11"/>
  <c r="J132" i="11" s="1"/>
  <c r="H100" i="11"/>
  <c r="K48" i="11"/>
  <c r="J16" i="11"/>
  <c r="K18" i="11"/>
  <c r="K24" i="11" s="1"/>
  <c r="I15" i="11"/>
  <c r="H74" i="11"/>
  <c r="J81" i="11"/>
  <c r="H101" i="11"/>
  <c r="H105" i="11" s="1"/>
  <c r="J107" i="11"/>
  <c r="J106" i="11"/>
  <c r="D15" i="11"/>
  <c r="L18" i="11"/>
  <c r="L25" i="11" s="1"/>
  <c r="I126" i="11"/>
  <c r="E53" i="11"/>
  <c r="I17" i="11"/>
  <c r="C20" i="11"/>
  <c r="J47" i="11"/>
  <c r="I105" i="11"/>
  <c r="I46" i="11"/>
  <c r="H75" i="11"/>
  <c r="J105" i="11"/>
  <c r="I48" i="11"/>
  <c r="I75" i="11"/>
  <c r="I76" i="11" s="1"/>
  <c r="I81" i="11" s="1"/>
  <c r="I101" i="11"/>
  <c r="I106" i="11" s="1"/>
  <c r="L46" i="11"/>
  <c r="H125" i="11"/>
  <c r="I16" i="11"/>
  <c r="J76" i="11"/>
  <c r="J82" i="11" s="1"/>
  <c r="Q40" i="13" l="1"/>
  <c r="Q44" i="13"/>
  <c r="Q42" i="13"/>
  <c r="P51" i="13"/>
  <c r="P52" i="13"/>
  <c r="P50" i="13"/>
  <c r="P53" i="13"/>
  <c r="R50" i="13"/>
  <c r="Q52" i="13"/>
  <c r="Q51" i="13"/>
  <c r="Q50" i="13"/>
  <c r="Q53" i="13"/>
  <c r="N52" i="13"/>
  <c r="I41" i="13"/>
  <c r="I43" i="13"/>
  <c r="I40" i="13"/>
  <c r="I42" i="13"/>
  <c r="J51" i="13"/>
  <c r="Q43" i="13"/>
  <c r="I50" i="13"/>
  <c r="J49" i="13"/>
  <c r="I53" i="13"/>
  <c r="J53" i="13"/>
  <c r="J52" i="13"/>
  <c r="K51" i="13"/>
  <c r="R53" i="13"/>
  <c r="L53" i="13"/>
  <c r="M49" i="13"/>
  <c r="H53" i="13"/>
  <c r="K53" i="13"/>
  <c r="F49" i="13"/>
  <c r="F53" i="13"/>
  <c r="G51" i="13"/>
  <c r="G53" i="13"/>
  <c r="O41" i="13"/>
  <c r="O44" i="13"/>
  <c r="O40" i="13"/>
  <c r="O42" i="13"/>
  <c r="O43" i="13"/>
  <c r="M44" i="13"/>
  <c r="M40" i="13"/>
  <c r="M41" i="13"/>
  <c r="M43" i="13"/>
  <c r="M42" i="13"/>
  <c r="P41" i="13"/>
  <c r="P42" i="13"/>
  <c r="P44" i="13"/>
  <c r="P43" i="13"/>
  <c r="P40" i="13"/>
  <c r="R42" i="13"/>
  <c r="R43" i="13"/>
  <c r="R41" i="13"/>
  <c r="R44" i="13"/>
  <c r="R40" i="13"/>
  <c r="H52" i="13"/>
  <c r="G49" i="13"/>
  <c r="L43" i="13"/>
  <c r="L42" i="13"/>
  <c r="L44" i="13"/>
  <c r="L40" i="13"/>
  <c r="L41" i="13"/>
  <c r="M53" i="13"/>
  <c r="M50" i="13"/>
  <c r="I51" i="13"/>
  <c r="G44" i="13"/>
  <c r="G40" i="13"/>
  <c r="G41" i="13"/>
  <c r="G42" i="13"/>
  <c r="G43" i="13"/>
  <c r="K49" i="13"/>
  <c r="K50" i="13"/>
  <c r="I52" i="13"/>
  <c r="K43" i="13"/>
  <c r="K44" i="13"/>
  <c r="K40" i="13"/>
  <c r="K42" i="13"/>
  <c r="K41" i="13"/>
  <c r="H51" i="13"/>
  <c r="N51" i="13"/>
  <c r="N50" i="13"/>
  <c r="O53" i="13"/>
  <c r="O51" i="13"/>
  <c r="O52" i="13"/>
  <c r="H50" i="13"/>
  <c r="N44" i="13"/>
  <c r="N40" i="13"/>
  <c r="N41" i="13"/>
  <c r="N42" i="13"/>
  <c r="N43" i="13"/>
  <c r="L52" i="13"/>
  <c r="L50" i="13"/>
  <c r="M52" i="13"/>
  <c r="F50" i="13"/>
  <c r="F51" i="13"/>
  <c r="N49" i="13"/>
  <c r="O49" i="13"/>
  <c r="L51" i="13"/>
  <c r="G52" i="13"/>
  <c r="H41" i="13"/>
  <c r="H42" i="13"/>
  <c r="H43" i="13"/>
  <c r="H44" i="13"/>
  <c r="H40" i="13"/>
  <c r="J42" i="13"/>
  <c r="J41" i="13"/>
  <c r="J43" i="13"/>
  <c r="J44" i="13"/>
  <c r="J40" i="13"/>
  <c r="R49" i="13"/>
  <c r="R52" i="13"/>
  <c r="F44" i="13"/>
  <c r="F41" i="13"/>
  <c r="F43" i="13"/>
  <c r="F42" i="13"/>
  <c r="J40" i="12"/>
  <c r="J48" i="12"/>
  <c r="L40" i="12"/>
  <c r="L46" i="12"/>
  <c r="L45" i="12"/>
  <c r="G37" i="12"/>
  <c r="G38" i="12"/>
  <c r="G40" i="12"/>
  <c r="G36" i="12"/>
  <c r="G39" i="12"/>
  <c r="R45" i="12"/>
  <c r="J46" i="12"/>
  <c r="L48" i="12"/>
  <c r="J45" i="12"/>
  <c r="J49" i="12"/>
  <c r="Q36" i="12"/>
  <c r="Q38" i="12"/>
  <c r="Q39" i="12"/>
  <c r="Q37" i="12"/>
  <c r="G45" i="12"/>
  <c r="L47" i="12"/>
  <c r="K40" i="12"/>
  <c r="K46" i="12"/>
  <c r="G47" i="12"/>
  <c r="G46" i="12"/>
  <c r="S46" i="12" s="1"/>
  <c r="Q40" i="12"/>
  <c r="Q45" i="12"/>
  <c r="K39" i="12"/>
  <c r="K36" i="12"/>
  <c r="K37" i="12"/>
  <c r="K38" i="12"/>
  <c r="R40" i="12"/>
  <c r="R48" i="12"/>
  <c r="R38" i="12"/>
  <c r="R39" i="12"/>
  <c r="R36" i="12"/>
  <c r="R37" i="12"/>
  <c r="O37" i="12"/>
  <c r="O39" i="12"/>
  <c r="O38" i="12"/>
  <c r="O36" i="12"/>
  <c r="F40" i="12"/>
  <c r="F36" i="12"/>
  <c r="F37" i="12"/>
  <c r="F38" i="12"/>
  <c r="F39" i="12"/>
  <c r="O40" i="12"/>
  <c r="O47" i="12"/>
  <c r="O46" i="12"/>
  <c r="F49" i="12"/>
  <c r="Q49" i="12"/>
  <c r="G48" i="12"/>
  <c r="M36" i="12"/>
  <c r="M37" i="12"/>
  <c r="M38" i="12"/>
  <c r="M39" i="12"/>
  <c r="J38" i="12"/>
  <c r="J39" i="12"/>
  <c r="J36" i="12"/>
  <c r="J37" i="12"/>
  <c r="N36" i="12"/>
  <c r="N37" i="12"/>
  <c r="N38" i="12"/>
  <c r="N39" i="12"/>
  <c r="H45" i="12"/>
  <c r="H49" i="12"/>
  <c r="H46" i="12"/>
  <c r="M40" i="12"/>
  <c r="M48" i="12"/>
  <c r="M49" i="12"/>
  <c r="H47" i="12"/>
  <c r="S47" i="12" s="1"/>
  <c r="Q47" i="12"/>
  <c r="N40" i="12"/>
  <c r="N47" i="12"/>
  <c r="F45" i="12"/>
  <c r="Q48" i="12"/>
  <c r="F48" i="12"/>
  <c r="S48" i="12" s="1"/>
  <c r="R47" i="12"/>
  <c r="J47" i="12"/>
  <c r="M45" i="12"/>
  <c r="R49" i="12"/>
  <c r="L24" i="11"/>
  <c r="J131" i="11"/>
  <c r="J130" i="11"/>
  <c r="J133" i="11" s="1"/>
  <c r="I80" i="11"/>
  <c r="J48" i="11"/>
  <c r="J49" i="11" s="1"/>
  <c r="J55" i="11" s="1"/>
  <c r="K23" i="11"/>
  <c r="K22" i="11"/>
  <c r="L22" i="11"/>
  <c r="I18" i="11"/>
  <c r="I22" i="11" s="1"/>
  <c r="I107" i="11"/>
  <c r="K105" i="11"/>
  <c r="I108" i="11"/>
  <c r="H106" i="11"/>
  <c r="K106" i="11" s="1"/>
  <c r="H107" i="11"/>
  <c r="L49" i="11"/>
  <c r="L54" i="11" s="1"/>
  <c r="H76" i="11"/>
  <c r="H80" i="11" s="1"/>
  <c r="H81" i="11"/>
  <c r="K81" i="11" s="1"/>
  <c r="K25" i="11"/>
  <c r="I82" i="11"/>
  <c r="L23" i="11"/>
  <c r="J108" i="11"/>
  <c r="J80" i="11"/>
  <c r="J83" i="11" s="1"/>
  <c r="I49" i="11"/>
  <c r="I56" i="11" s="1"/>
  <c r="I54" i="11"/>
  <c r="K49" i="11"/>
  <c r="K56" i="11" s="1"/>
  <c r="I131" i="11"/>
  <c r="I130" i="11"/>
  <c r="H82" i="11"/>
  <c r="K82" i="11" s="1"/>
  <c r="I25" i="11"/>
  <c r="H126" i="11"/>
  <c r="H132" i="11" s="1"/>
  <c r="K132" i="11" s="1"/>
  <c r="J18" i="11"/>
  <c r="J24" i="11" s="1"/>
  <c r="I132" i="11"/>
  <c r="S53" i="13" l="1"/>
  <c r="S52" i="13"/>
  <c r="S51" i="13"/>
  <c r="S50" i="13"/>
  <c r="S49" i="13"/>
  <c r="S42" i="13"/>
  <c r="S43" i="13"/>
  <c r="S40" i="13"/>
  <c r="S41" i="13"/>
  <c r="S44" i="13"/>
  <c r="S39" i="12"/>
  <c r="M57" i="12" s="1"/>
  <c r="S38" i="12"/>
  <c r="M56" i="12" s="1"/>
  <c r="S37" i="12"/>
  <c r="M55" i="12" s="1"/>
  <c r="S36" i="12"/>
  <c r="S45" i="12"/>
  <c r="M54" i="12" s="1"/>
  <c r="S49" i="12"/>
  <c r="M58" i="12" s="1"/>
  <c r="S40" i="12"/>
  <c r="I23" i="11"/>
  <c r="L26" i="11"/>
  <c r="K107" i="11"/>
  <c r="L105" i="11"/>
  <c r="M105" i="11" s="1"/>
  <c r="L106" i="11"/>
  <c r="M106" i="11" s="1"/>
  <c r="L107" i="11"/>
  <c r="M107" i="11" s="1"/>
  <c r="J54" i="11"/>
  <c r="J53" i="11"/>
  <c r="H108" i="11"/>
  <c r="K55" i="11"/>
  <c r="K53" i="11"/>
  <c r="K54" i="11"/>
  <c r="M54" i="11" s="1"/>
  <c r="J23" i="11"/>
  <c r="M23" i="11" s="1"/>
  <c r="J22" i="11"/>
  <c r="M22" i="11" s="1"/>
  <c r="J25" i="11"/>
  <c r="H130" i="11"/>
  <c r="H131" i="11"/>
  <c r="K131" i="11" s="1"/>
  <c r="I53" i="11"/>
  <c r="I55" i="11"/>
  <c r="H83" i="11"/>
  <c r="K80" i="11"/>
  <c r="J56" i="11"/>
  <c r="M25" i="11"/>
  <c r="L56" i="11"/>
  <c r="L55" i="11"/>
  <c r="L53" i="11"/>
  <c r="I83" i="11"/>
  <c r="I133" i="11"/>
  <c r="K26" i="11"/>
  <c r="I24" i="11"/>
  <c r="M24" i="11" s="1"/>
  <c r="M60" i="13" l="1"/>
  <c r="M58" i="13"/>
  <c r="M62" i="13"/>
  <c r="M61" i="13"/>
  <c r="M59" i="13"/>
  <c r="M56" i="11"/>
  <c r="L57" i="11"/>
  <c r="K57" i="11"/>
  <c r="M55" i="11"/>
  <c r="H133" i="11"/>
  <c r="K130" i="11"/>
  <c r="N22" i="11"/>
  <c r="O22" i="11" s="1"/>
  <c r="N23" i="11"/>
  <c r="O23" i="11" s="1"/>
  <c r="N24" i="11"/>
  <c r="O24" i="11" s="1"/>
  <c r="N25" i="11"/>
  <c r="O25" i="11" s="1"/>
  <c r="J57" i="11"/>
  <c r="I26" i="11"/>
  <c r="J26" i="11"/>
  <c r="L81" i="11"/>
  <c r="M81" i="11" s="1"/>
  <c r="L82" i="11"/>
  <c r="M82" i="11" s="1"/>
  <c r="L80" i="11"/>
  <c r="M80" i="11" s="1"/>
  <c r="O108" i="11"/>
  <c r="O110" i="11" s="1"/>
  <c r="O112" i="11" s="1"/>
  <c r="P109" i="11" s="1"/>
  <c r="I57" i="11"/>
  <c r="M53" i="11"/>
  <c r="O83" i="11" l="1"/>
  <c r="O85" i="11" s="1"/>
  <c r="O87" i="11" s="1"/>
  <c r="P84" i="11" s="1"/>
  <c r="P27" i="11"/>
  <c r="P29" i="11" s="1"/>
  <c r="P31" i="11" s="1"/>
  <c r="Q28" i="11" s="1"/>
  <c r="L132" i="11"/>
  <c r="M132" i="11" s="1"/>
  <c r="L130" i="11"/>
  <c r="M130" i="11" s="1"/>
  <c r="O133" i="11" s="1"/>
  <c r="O135" i="11" s="1"/>
  <c r="O137" i="11" s="1"/>
  <c r="P134" i="11" s="1"/>
  <c r="L131" i="11"/>
  <c r="M131" i="11" s="1"/>
  <c r="N53" i="11"/>
  <c r="O53" i="11" s="1"/>
  <c r="N55" i="11"/>
  <c r="O55" i="11" s="1"/>
  <c r="N54" i="11"/>
  <c r="O54" i="11" s="1"/>
  <c r="N56" i="11"/>
  <c r="O56" i="11" s="1"/>
  <c r="P58" i="11" l="1"/>
  <c r="P60" i="11" s="1"/>
  <c r="P62" i="11" s="1"/>
  <c r="Q59" i="11" s="1"/>
  <c r="E103" i="9" l="1"/>
  <c r="D104" i="9" s="1"/>
  <c r="E93" i="9"/>
  <c r="D94" i="9" s="1"/>
  <c r="D19" i="9"/>
  <c r="D13" i="9"/>
  <c r="C20" i="9"/>
  <c r="J124" i="9"/>
  <c r="W130" i="9"/>
  <c r="Q19" i="10"/>
  <c r="F17" i="10"/>
  <c r="G17" i="10"/>
  <c r="H17" i="10"/>
  <c r="I17" i="10"/>
  <c r="J17" i="10"/>
  <c r="K17" i="10"/>
  <c r="L17" i="10"/>
  <c r="M17" i="10"/>
  <c r="N17" i="10"/>
  <c r="O17" i="10"/>
  <c r="P17" i="10"/>
  <c r="Q17" i="10"/>
  <c r="R17" i="10"/>
  <c r="F18" i="10"/>
  <c r="G18" i="10"/>
  <c r="H18" i="10"/>
  <c r="I18" i="10"/>
  <c r="J18" i="10"/>
  <c r="K18" i="10"/>
  <c r="L18" i="10"/>
  <c r="M18" i="10"/>
  <c r="N18" i="10"/>
  <c r="O18" i="10"/>
  <c r="P18" i="10"/>
  <c r="Q18" i="10"/>
  <c r="R18" i="10"/>
  <c r="F19" i="10"/>
  <c r="G19" i="10"/>
  <c r="H19" i="10"/>
  <c r="I19" i="10"/>
  <c r="J19" i="10"/>
  <c r="K19" i="10"/>
  <c r="L19" i="10"/>
  <c r="M19" i="10"/>
  <c r="N19" i="10"/>
  <c r="O19" i="10"/>
  <c r="P19" i="10"/>
  <c r="R19" i="10"/>
  <c r="F20" i="10"/>
  <c r="G20" i="10"/>
  <c r="H20" i="10"/>
  <c r="I20" i="10"/>
  <c r="J20" i="10"/>
  <c r="K20" i="10"/>
  <c r="L20" i="10"/>
  <c r="M20" i="10"/>
  <c r="N20" i="10"/>
  <c r="O20" i="10"/>
  <c r="P20" i="10"/>
  <c r="Q20" i="10"/>
  <c r="R20" i="10"/>
  <c r="G16" i="10"/>
  <c r="H16" i="10"/>
  <c r="I16" i="10"/>
  <c r="J16" i="10"/>
  <c r="K16" i="10"/>
  <c r="L16" i="10"/>
  <c r="M16" i="10"/>
  <c r="N16" i="10"/>
  <c r="O16" i="10"/>
  <c r="P16" i="10"/>
  <c r="Q16" i="10"/>
  <c r="R16" i="10"/>
  <c r="F16" i="10"/>
  <c r="J123" i="9"/>
  <c r="I123" i="9"/>
  <c r="J99" i="9"/>
  <c r="J98" i="9"/>
  <c r="I98" i="9"/>
  <c r="H99" i="9" s="1"/>
  <c r="J74" i="9"/>
  <c r="I75" i="9" s="1"/>
  <c r="K46" i="9"/>
  <c r="J47" i="9" s="1"/>
  <c r="K45" i="9"/>
  <c r="I47" i="9" s="1"/>
  <c r="L45" i="9"/>
  <c r="D79" i="9"/>
  <c r="E77" i="9"/>
  <c r="C79" i="9" s="1"/>
  <c r="D77" i="9"/>
  <c r="C78" i="9" s="1"/>
  <c r="Y28" i="8"/>
  <c r="W30" i="8" s="1"/>
  <c r="X28" i="8"/>
  <c r="W29" i="8" s="1"/>
  <c r="D69" i="9"/>
  <c r="E67" i="9"/>
  <c r="C69" i="9" s="1"/>
  <c r="D67" i="9"/>
  <c r="Y28" i="4"/>
  <c r="W30" i="4" s="1"/>
  <c r="X28" i="4"/>
  <c r="W29" i="4" s="1"/>
  <c r="D53" i="9"/>
  <c r="C53" i="9"/>
  <c r="F52" i="9"/>
  <c r="L47" i="9" s="1"/>
  <c r="K48" i="9" s="1"/>
  <c r="D52" i="9"/>
  <c r="C52" i="9"/>
  <c r="C51" i="9"/>
  <c r="Z20" i="8"/>
  <c r="E47" i="9"/>
  <c r="C47" i="9"/>
  <c r="D46" i="9"/>
  <c r="C46" i="9"/>
  <c r="F45" i="9"/>
  <c r="D47" i="9" s="1"/>
  <c r="C45" i="9"/>
  <c r="Z19" i="7"/>
  <c r="X21" i="7" s="1"/>
  <c r="E41" i="9"/>
  <c r="D41" i="9"/>
  <c r="C41" i="9"/>
  <c r="D40" i="9"/>
  <c r="C40" i="9"/>
  <c r="D38" i="9"/>
  <c r="C39" i="9" s="1"/>
  <c r="X18" i="4"/>
  <c r="L15" i="9"/>
  <c r="J17" i="9" s="1"/>
  <c r="L16" i="9"/>
  <c r="K17" i="9" s="1"/>
  <c r="K14" i="9"/>
  <c r="L14" i="9"/>
  <c r="I17" i="9" s="1"/>
  <c r="C21" i="9"/>
  <c r="D21" i="9"/>
  <c r="C22" i="9"/>
  <c r="D22" i="9"/>
  <c r="E22" i="9"/>
  <c r="C8" i="9"/>
  <c r="E10" i="9"/>
  <c r="D10" i="9"/>
  <c r="C10" i="9"/>
  <c r="D9" i="9"/>
  <c r="C9" i="9"/>
  <c r="E16" i="9"/>
  <c r="D16" i="9"/>
  <c r="C16" i="9"/>
  <c r="C15" i="9"/>
  <c r="D15" i="9"/>
  <c r="Y9" i="7"/>
  <c r="X10" i="7" s="1"/>
  <c r="X8" i="7"/>
  <c r="W9" i="7" s="1"/>
  <c r="X8" i="8"/>
  <c r="W9" i="8" s="1"/>
  <c r="P30" i="9"/>
  <c r="O136" i="9"/>
  <c r="O111" i="9"/>
  <c r="O86" i="9"/>
  <c r="D129" i="9"/>
  <c r="C129" i="9"/>
  <c r="C128" i="9"/>
  <c r="D124" i="9"/>
  <c r="C124" i="9"/>
  <c r="C123" i="9"/>
  <c r="D119" i="9"/>
  <c r="C119" i="9"/>
  <c r="C118" i="9"/>
  <c r="C104" i="9"/>
  <c r="C103" i="9"/>
  <c r="D99" i="9"/>
  <c r="C99" i="9"/>
  <c r="C98" i="9"/>
  <c r="C94" i="9"/>
  <c r="C93" i="9"/>
  <c r="D74" i="9"/>
  <c r="C74" i="9"/>
  <c r="C73" i="9"/>
  <c r="P61" i="9"/>
  <c r="X44" i="8"/>
  <c r="W44" i="8"/>
  <c r="W43" i="8"/>
  <c r="X37" i="8"/>
  <c r="W37" i="8"/>
  <c r="W36" i="8"/>
  <c r="X30" i="8"/>
  <c r="Y21" i="8"/>
  <c r="X21" i="8"/>
  <c r="W21" i="8"/>
  <c r="X20" i="8"/>
  <c r="W20" i="8"/>
  <c r="W19" i="8"/>
  <c r="X44" i="7"/>
  <c r="W44" i="7"/>
  <c r="W43" i="7"/>
  <c r="X37" i="7"/>
  <c r="W37" i="7"/>
  <c r="W36" i="7"/>
  <c r="X30" i="7"/>
  <c r="W30" i="7"/>
  <c r="W29" i="7"/>
  <c r="Y21" i="7"/>
  <c r="W21" i="7"/>
  <c r="X20" i="7"/>
  <c r="W20" i="7"/>
  <c r="W19" i="7"/>
  <c r="X44" i="4"/>
  <c r="W44" i="4"/>
  <c r="W43" i="4"/>
  <c r="X37" i="4"/>
  <c r="W37" i="4"/>
  <c r="W36" i="4"/>
  <c r="X30" i="4"/>
  <c r="Y21" i="4"/>
  <c r="X21" i="4"/>
  <c r="X20" i="4"/>
  <c r="W21" i="4"/>
  <c r="W20" i="4"/>
  <c r="W19" i="4"/>
  <c r="Y11" i="4"/>
  <c r="X11" i="4"/>
  <c r="W11" i="4"/>
  <c r="X10" i="4"/>
  <c r="W10" i="4"/>
  <c r="W9" i="4"/>
  <c r="Y11" i="7"/>
  <c r="X11" i="7"/>
  <c r="W11" i="7"/>
  <c r="W10" i="7"/>
  <c r="Y11" i="8"/>
  <c r="X11" i="8"/>
  <c r="X10" i="8"/>
  <c r="W11" i="8"/>
  <c r="W10" i="8"/>
  <c r="M78" i="1"/>
  <c r="E44" i="1"/>
  <c r="J14" i="9" l="1"/>
  <c r="I15" i="9" s="1"/>
  <c r="I73" i="9"/>
  <c r="H74" i="9" s="1"/>
  <c r="L46" i="9"/>
  <c r="J48" i="9" s="1"/>
  <c r="J45" i="9"/>
  <c r="I46" i="9" s="1"/>
  <c r="K15" i="9"/>
  <c r="J16" i="9" s="1"/>
  <c r="C68" i="9"/>
  <c r="J73" i="9"/>
  <c r="J76" i="9" s="1"/>
  <c r="J82" i="9" s="1"/>
  <c r="E53" i="9"/>
  <c r="C14" i="9"/>
  <c r="J126" i="9"/>
  <c r="J130" i="9" s="1"/>
  <c r="H125" i="9"/>
  <c r="J101" i="9"/>
  <c r="I125" i="9"/>
  <c r="I126" i="9" s="1"/>
  <c r="H124" i="9"/>
  <c r="H100" i="9"/>
  <c r="H101" i="9" s="1"/>
  <c r="I100" i="9"/>
  <c r="K49" i="9"/>
  <c r="I16" i="9"/>
  <c r="I48" i="9"/>
  <c r="L18" i="9"/>
  <c r="L25" i="9" s="1"/>
  <c r="J49" i="9" l="1"/>
  <c r="I76" i="9"/>
  <c r="I81" i="9" s="1"/>
  <c r="K18" i="9"/>
  <c r="K23" i="9" s="1"/>
  <c r="H75" i="9"/>
  <c r="H76" i="9" s="1"/>
  <c r="H80" i="9" s="1"/>
  <c r="L49" i="9"/>
  <c r="L53" i="9" s="1"/>
  <c r="J18" i="9"/>
  <c r="J25" i="9" s="1"/>
  <c r="I18" i="9"/>
  <c r="I23" i="9" s="1"/>
  <c r="J131" i="9"/>
  <c r="J132" i="9"/>
  <c r="I132" i="9"/>
  <c r="I130" i="9"/>
  <c r="I131" i="9"/>
  <c r="J106" i="9"/>
  <c r="J107" i="9"/>
  <c r="J105" i="9"/>
  <c r="H105" i="9"/>
  <c r="H107" i="9"/>
  <c r="H106" i="9"/>
  <c r="J80" i="9"/>
  <c r="K54" i="9"/>
  <c r="K55" i="9"/>
  <c r="K56" i="9"/>
  <c r="K53" i="9"/>
  <c r="J53" i="9"/>
  <c r="J56" i="9"/>
  <c r="J54" i="9"/>
  <c r="J55" i="9"/>
  <c r="H126" i="9"/>
  <c r="I101" i="9"/>
  <c r="J81" i="9"/>
  <c r="I80" i="9"/>
  <c r="I82" i="9"/>
  <c r="I49" i="9"/>
  <c r="L23" i="9"/>
  <c r="L24" i="9"/>
  <c r="L22" i="9"/>
  <c r="K25" i="9" l="1"/>
  <c r="K24" i="9"/>
  <c r="K22" i="9"/>
  <c r="H81" i="9"/>
  <c r="K81" i="9" s="1"/>
  <c r="C9" i="10" s="1"/>
  <c r="H82" i="9"/>
  <c r="K82" i="9" s="1"/>
  <c r="C10" i="10" s="1"/>
  <c r="K80" i="9"/>
  <c r="C8" i="10" s="1"/>
  <c r="L56" i="9"/>
  <c r="L55" i="9"/>
  <c r="L54" i="9"/>
  <c r="J24" i="9"/>
  <c r="I25" i="9"/>
  <c r="J23" i="9"/>
  <c r="J22" i="9"/>
  <c r="I22" i="9"/>
  <c r="I24" i="9"/>
  <c r="I133" i="9"/>
  <c r="J133" i="9"/>
  <c r="H132" i="9"/>
  <c r="K132" i="9" s="1"/>
  <c r="C16" i="10" s="1"/>
  <c r="H130" i="9"/>
  <c r="K130" i="9" s="1"/>
  <c r="C14" i="10" s="1"/>
  <c r="H131" i="9"/>
  <c r="K131" i="9" s="1"/>
  <c r="C15" i="10" s="1"/>
  <c r="J108" i="9"/>
  <c r="I105" i="9"/>
  <c r="K105" i="9" s="1"/>
  <c r="C11" i="10" s="1"/>
  <c r="I106" i="9"/>
  <c r="K106" i="9" s="1"/>
  <c r="C12" i="10" s="1"/>
  <c r="I107" i="9"/>
  <c r="K107" i="9" s="1"/>
  <c r="C13" i="10" s="1"/>
  <c r="I56" i="9"/>
  <c r="I55" i="9"/>
  <c r="I53" i="9"/>
  <c r="I54" i="9"/>
  <c r="H108" i="9"/>
  <c r="J57" i="9"/>
  <c r="I83" i="9"/>
  <c r="K57" i="9"/>
  <c r="J83" i="9"/>
  <c r="L26" i="9"/>
  <c r="K28" i="10" l="1"/>
  <c r="K27" i="10"/>
  <c r="K25" i="10"/>
  <c r="K29" i="10"/>
  <c r="K26" i="10"/>
  <c r="M28" i="10"/>
  <c r="M27" i="10"/>
  <c r="M26" i="10"/>
  <c r="M25" i="10"/>
  <c r="M29" i="10"/>
  <c r="P29" i="10"/>
  <c r="P27" i="10"/>
  <c r="P26" i="10"/>
  <c r="P25" i="10"/>
  <c r="P28" i="10"/>
  <c r="R26" i="10"/>
  <c r="R28" i="10"/>
  <c r="R29" i="10"/>
  <c r="R25" i="10"/>
  <c r="R27" i="10"/>
  <c r="J25" i="10"/>
  <c r="J28" i="10"/>
  <c r="J27" i="10"/>
  <c r="J26" i="10"/>
  <c r="J29" i="10"/>
  <c r="L29" i="10"/>
  <c r="L26" i="10"/>
  <c r="L25" i="10"/>
  <c r="L28" i="10"/>
  <c r="L27" i="10"/>
  <c r="O27" i="10"/>
  <c r="O25" i="10"/>
  <c r="O29" i="10"/>
  <c r="O28" i="10"/>
  <c r="O26" i="10"/>
  <c r="Q26" i="10"/>
  <c r="Q29" i="10"/>
  <c r="Q25" i="10"/>
  <c r="Q27" i="10"/>
  <c r="Q28" i="10"/>
  <c r="N29" i="10"/>
  <c r="N26" i="10"/>
  <c r="N28" i="10"/>
  <c r="N27" i="10"/>
  <c r="N25" i="10"/>
  <c r="M25" i="9"/>
  <c r="K26" i="9"/>
  <c r="L82" i="9"/>
  <c r="L80" i="9"/>
  <c r="L81" i="9"/>
  <c r="M54" i="9"/>
  <c r="C5" i="10" s="1"/>
  <c r="L57" i="9"/>
  <c r="M55" i="9"/>
  <c r="C6" i="10" s="1"/>
  <c r="M56" i="9"/>
  <c r="C7" i="10" s="1"/>
  <c r="I26" i="9"/>
  <c r="M22" i="9"/>
  <c r="J26" i="9"/>
  <c r="M23" i="9"/>
  <c r="M24" i="9"/>
  <c r="L105" i="9"/>
  <c r="M105" i="9" s="1"/>
  <c r="L131" i="9"/>
  <c r="M131" i="9" s="1"/>
  <c r="L132" i="9"/>
  <c r="M132" i="9" s="1"/>
  <c r="H133" i="9"/>
  <c r="L107" i="9"/>
  <c r="M107" i="9" s="1"/>
  <c r="L106" i="9"/>
  <c r="M106" i="9" s="1"/>
  <c r="I108" i="9"/>
  <c r="H83" i="9"/>
  <c r="M53" i="9"/>
  <c r="C4" i="10" s="1"/>
  <c r="I57" i="9"/>
  <c r="F28" i="10" l="1"/>
  <c r="F27" i="10"/>
  <c r="F25" i="10"/>
  <c r="F26" i="10"/>
  <c r="F29" i="10"/>
  <c r="H28" i="10"/>
  <c r="H29" i="10"/>
  <c r="H27" i="10"/>
  <c r="H26" i="10"/>
  <c r="H25" i="10"/>
  <c r="I27" i="10"/>
  <c r="I29" i="10"/>
  <c r="I26" i="10"/>
  <c r="I25" i="10"/>
  <c r="I28" i="10"/>
  <c r="G29" i="10"/>
  <c r="G26" i="10"/>
  <c r="G28" i="10"/>
  <c r="G25" i="10"/>
  <c r="G27" i="10"/>
  <c r="N23" i="9"/>
  <c r="O23" i="9" s="1"/>
  <c r="N25" i="9"/>
  <c r="O25" i="9" s="1"/>
  <c r="N24" i="9"/>
  <c r="O24" i="9" s="1"/>
  <c r="N22" i="9"/>
  <c r="O22" i="9" s="1"/>
  <c r="O137" i="9"/>
  <c r="P134" i="9" s="1"/>
  <c r="O108" i="9"/>
  <c r="M82" i="9"/>
  <c r="M81" i="9"/>
  <c r="M80" i="9"/>
  <c r="N53" i="9"/>
  <c r="O53" i="9" s="1"/>
  <c r="N54" i="9"/>
  <c r="O54" i="9" s="1"/>
  <c r="N56" i="9"/>
  <c r="O56" i="9" s="1"/>
  <c r="N55" i="9"/>
  <c r="O55" i="9" s="1"/>
  <c r="P27" i="9" l="1"/>
  <c r="P29" i="9" s="1"/>
  <c r="P31" i="9" s="1"/>
  <c r="Q28" i="9" s="1"/>
  <c r="O110" i="9"/>
  <c r="O112" i="9" s="1"/>
  <c r="P109" i="9" s="1"/>
  <c r="O83" i="9"/>
  <c r="O85" i="9" s="1"/>
  <c r="O87" i="9" s="1"/>
  <c r="P84" i="9" s="1"/>
  <c r="P58" i="9"/>
  <c r="P60" i="9" s="1"/>
  <c r="P62" i="9" s="1"/>
  <c r="Q59" i="9" s="1"/>
  <c r="S40" i="10" l="1"/>
  <c r="S50" i="10"/>
  <c r="S53" i="10"/>
  <c r="S49" i="10"/>
  <c r="S52" i="10"/>
  <c r="S43" i="10"/>
  <c r="S41" i="10"/>
  <c r="S44" i="10"/>
  <c r="S42" i="10"/>
  <c r="S51" i="10"/>
  <c r="M58" i="10" l="1"/>
  <c r="M61" i="10"/>
  <c r="M62" i="10"/>
  <c r="M59" i="10"/>
  <c r="M60" i="10"/>
</calcChain>
</file>

<file path=xl/sharedStrings.xml><?xml version="1.0" encoding="utf-8"?>
<sst xmlns="http://schemas.openxmlformats.org/spreadsheetml/2006/main" count="1593" uniqueCount="138">
  <si>
    <t>Role</t>
  </si>
  <si>
    <t>Expert 1</t>
  </si>
  <si>
    <t>Experts</t>
  </si>
  <si>
    <t>Expert 2</t>
  </si>
  <si>
    <t>Expert 3</t>
  </si>
  <si>
    <t>Drilling and Well Operation</t>
  </si>
  <si>
    <t>Contract, Procurement &amp; Logistic</t>
  </si>
  <si>
    <t>Community Development</t>
  </si>
  <si>
    <t>Communication Relation Community</t>
  </si>
  <si>
    <t>Alternatives Supplier</t>
  </si>
  <si>
    <t>S1</t>
  </si>
  <si>
    <t>S2</t>
  </si>
  <si>
    <t>S3</t>
  </si>
  <si>
    <t>S4</t>
  </si>
  <si>
    <t>S5</t>
  </si>
  <si>
    <t>Procurement and Supply Chain Management</t>
  </si>
  <si>
    <t>Pengalaman</t>
  </si>
  <si>
    <t>Divisi</t>
  </si>
  <si>
    <t>Posisi</t>
  </si>
  <si>
    <t>Delivery</t>
  </si>
  <si>
    <t>TKDN</t>
  </si>
  <si>
    <t>Kualitas</t>
  </si>
  <si>
    <t>Harga</t>
  </si>
  <si>
    <t>EKONOMI</t>
  </si>
  <si>
    <t>LINGKUNGAN</t>
  </si>
  <si>
    <t>SOSIAL</t>
  </si>
  <si>
    <t>ETIKA</t>
  </si>
  <si>
    <t>Eco-design</t>
  </si>
  <si>
    <t>Sistem K3</t>
  </si>
  <si>
    <t>CSR</t>
  </si>
  <si>
    <t>CoC</t>
  </si>
  <si>
    <t>CoI</t>
  </si>
  <si>
    <t>Sistem Man. Lingkungan</t>
  </si>
  <si>
    <t>DPMO</t>
  </si>
  <si>
    <t>USD</t>
  </si>
  <si>
    <t>Days</t>
  </si>
  <si>
    <t>%</t>
  </si>
  <si>
    <t>Lost Time
Injury Freq. 
Rate</t>
  </si>
  <si>
    <t>tambahkan kriteria flexibility</t>
  </si>
  <si>
    <t>No. of
Cases</t>
  </si>
  <si>
    <t>Transparansi Akuntansi Bisnis</t>
  </si>
  <si>
    <t xml:space="preserve">Disclosure
level </t>
  </si>
  <si>
    <t>Green Image</t>
  </si>
  <si>
    <t>Education &amp; Training</t>
  </si>
  <si>
    <t>No. of Training Sessions</t>
  </si>
  <si>
    <t>Drilling and Well Intervention (Subsurface)</t>
  </si>
  <si>
    <t>Kriteria</t>
  </si>
  <si>
    <t>Faktor Ekonomi</t>
  </si>
  <si>
    <t>Faktor Lingkungan</t>
  </si>
  <si>
    <t>Faktor Sosial</t>
  </si>
  <si>
    <t>Kriteria Nilai</t>
  </si>
  <si>
    <t>Faktor Etika</t>
  </si>
  <si>
    <t>Pemilihan Berdasarkan Kriteria</t>
  </si>
  <si>
    <t>Sub-kriteria</t>
  </si>
  <si>
    <t xml:space="preserve">Pengiriman (Delivery) </t>
  </si>
  <si>
    <t>TKDN
(Tingkat Komponen Dalam Negeri)</t>
  </si>
  <si>
    <t>Eco-Design</t>
  </si>
  <si>
    <t xml:space="preserve">Sistem Manajemen Lingkungan </t>
  </si>
  <si>
    <t>Pemilihan Berdasarkan Sub-kriteria pada Faktor Ekonomi</t>
  </si>
  <si>
    <t>Pemilihan Berdasarkan Sub-kriteria pada Faktor Lingkungan</t>
  </si>
  <si>
    <t>Pemilihan Berdasarkan Sub-kriteria pada Faktor Sosial</t>
  </si>
  <si>
    <t>Sistem Kesehatan dan Keselamatan Kerja</t>
  </si>
  <si>
    <t>Pemilihan Berdasarkan Sub-kriteria pada Faktor Etika</t>
  </si>
  <si>
    <t>Transparasi dalam akuntansi dan bisnis</t>
  </si>
  <si>
    <t>Sistem Manajemen Lingkungan</t>
  </si>
  <si>
    <t>x</t>
  </si>
  <si>
    <t>hubungan antara kriteria dan bobot kriteria</t>
  </si>
  <si>
    <t>&gt; 12 tahun</t>
  </si>
  <si>
    <t>&gt; 15 tahun</t>
  </si>
  <si>
    <t>Senior Analyst / Assistant Manager</t>
  </si>
  <si>
    <t>Senior Coordinator</t>
  </si>
  <si>
    <t>Saran perbaikan:</t>
  </si>
  <si>
    <t>Corporate Social Responsibility (CSR)</t>
  </si>
  <si>
    <t>Code of Conduct (CoC)</t>
  </si>
  <si>
    <t>Conflict of Interest (CoI)</t>
  </si>
  <si>
    <t>Detail Respondence</t>
  </si>
  <si>
    <t>tambahkan subkriteria Polution Control, MCU procedure and records, and Human Rights</t>
  </si>
  <si>
    <t>min</t>
  </si>
  <si>
    <t>max</t>
  </si>
  <si>
    <t>tambahkan expert di bagian HSE</t>
  </si>
  <si>
    <t>High-Low
(Rating 0-7)</t>
  </si>
  <si>
    <t>Expert 1 Kuesioner</t>
  </si>
  <si>
    <t>Ekonomi</t>
  </si>
  <si>
    <t>Lingkungan</t>
  </si>
  <si>
    <t>Etika</t>
  </si>
  <si>
    <t>Sosial</t>
  </si>
  <si>
    <t>Expert 2 Kuesioner</t>
  </si>
  <si>
    <t>Expert 3 Kuesioner</t>
  </si>
  <si>
    <t>Total</t>
  </si>
  <si>
    <t>Tabel Normalisasi</t>
  </si>
  <si>
    <t>Priority Vector</t>
  </si>
  <si>
    <t>Hasil Kali</t>
  </si>
  <si>
    <t>HK/PV</t>
  </si>
  <si>
    <t>Lambda</t>
  </si>
  <si>
    <t xml:space="preserve">Elemen </t>
  </si>
  <si>
    <t>CI</t>
  </si>
  <si>
    <t>Rasio Indeks</t>
  </si>
  <si>
    <t>Jumlah Elemen</t>
  </si>
  <si>
    <t>RI</t>
  </si>
  <si>
    <t>CR</t>
  </si>
  <si>
    <t>Note: Konsisten jika bernilai &lt;= 0,1</t>
  </si>
  <si>
    <t>Perhitungan AHP Pada Kriteria</t>
  </si>
  <si>
    <t>Perhitungan AHP Pada Tiap-tiap Subkriteria</t>
  </si>
  <si>
    <t>Subkriteria</t>
  </si>
  <si>
    <t>Pengiriman</t>
  </si>
  <si>
    <t>SML</t>
  </si>
  <si>
    <t>SKK</t>
  </si>
  <si>
    <t>ET</t>
  </si>
  <si>
    <t>Col</t>
  </si>
  <si>
    <t>TAB</t>
  </si>
  <si>
    <t>Tabel Nilai Sub Kriteria</t>
  </si>
  <si>
    <t>Sub Kriteria</t>
  </si>
  <si>
    <t>Ekonomi C01</t>
  </si>
  <si>
    <t>Lingkungan C02</t>
  </si>
  <si>
    <t>Etika C04</t>
  </si>
  <si>
    <t>Sosial C03</t>
  </si>
  <si>
    <t>Tabel Alternatif dan Sub Kriteria</t>
  </si>
  <si>
    <t>Alternatives</t>
  </si>
  <si>
    <t>Nilai Preferensi</t>
  </si>
  <si>
    <t>Preferensi</t>
  </si>
  <si>
    <t>Ranking</t>
  </si>
  <si>
    <t xml:space="preserve">Kesimpulan </t>
  </si>
  <si>
    <t>Kesimpulan</t>
  </si>
  <si>
    <t>Tabel Alternatif dan Sub Kriteria Kuadrat</t>
  </si>
  <si>
    <t>A Min</t>
  </si>
  <si>
    <t>A Max</t>
  </si>
  <si>
    <t>D+</t>
  </si>
  <si>
    <t>D-</t>
  </si>
  <si>
    <t>Tabel Rata-rata Nilai Kriteria Ternormalisasi Terbobot</t>
  </si>
  <si>
    <t>Dihitung menurut nilai Preferensi tertinggi, alternative S4 merupakan alternatif yang harus menjadi perhatian dan disarankan untuk dipilih sebagai supplier</t>
  </si>
  <si>
    <t>Tabel Rata-rata Nilai Kriteria Ternormalisasi Terbobot Kuadrat +</t>
  </si>
  <si>
    <t>Tabel Rata-rata Nilai Kriteria Ternormalisasi Terbobot Kuadrat -</t>
  </si>
  <si>
    <t>A+</t>
  </si>
  <si>
    <t>A-</t>
  </si>
  <si>
    <t>Dihitung menurut nilai Preferensi tertinggi, alternative S5 merupakan alternatif yang harus menjadi perhatian dan disarankan untuk dipilih sebagai supplier</t>
  </si>
  <si>
    <t>Preferensi (V)</t>
  </si>
  <si>
    <t>Bobot</t>
  </si>
  <si>
    <t>Tabel Rata-rata Nilai Kriteria Ternormalisasi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</si>
</sst>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7">
    <numFmt numFmtId="164" formatCode="_(* #,##0.00_);_(* \(#,##0.00\);_(* &quot;-&quot;??_);_(@_)"/>
    <numFmt numFmtId="165" formatCode="_(* #,##0.0000_);_(* \(#,##0.0000\);_(* &quot;-&quot;??_);_(@_)"/>
    <numFmt numFmtId="166" formatCode="_(* #,##0.00000_);_(* \(#,##0.00000\);_(* &quot;-&quot;??_);_(@_)"/>
    <numFmt numFmtId="167" formatCode="_(* #,##0_);_(* \(#,##0\);_(* &quot;-&quot;??_);_(@_)"/>
    <numFmt numFmtId="168" formatCode="_(* #,##0.000000000_);_(* \(#,##0.000000000\);_(* &quot;-&quot;??_);_(@_)"/>
    <numFmt numFmtId="169" formatCode="_-* #,##0.000000000_-;\-* #,##0.000000000_-;_-* &quot;-&quot;?????????_-;_-@_-"/>
    <numFmt numFmtId="170" formatCode="0.0000"/>
  </numFmts>
  <fonts count="5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rgb="FFC00000"/>
      <name val="Calibri"/>
      <family val="2"/>
      <scheme val="minor"/>
    </font>
    <font>
      <sz val="11"/>
      <name val="Calibri"/>
      <family val="2"/>
      <scheme val="minor"/>
    </font>
  </fonts>
  <fills count="6">
    <fill>
      <patternFill patternType="none"/>
    </fill>
    <fill>
      <patternFill patternType="gray125"/>
    </fill>
    <fill>
      <patternFill patternType="solid">
        <fgColor theme="0" tint="-0.14999847407452621"/>
        <bgColor indexed="64"/>
      </patternFill>
    </fill>
    <fill>
      <patternFill patternType="solid">
        <fgColor theme="0" tint="-4.9989318521683403E-2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C000"/>
        <bgColor indexed="64"/>
      </patternFill>
    </fill>
  </fills>
  <borders count="35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medium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 style="thin">
        <color indexed="64"/>
      </top>
      <bottom style="thin">
        <color indexed="64"/>
      </bottom>
      <diagonal/>
    </border>
    <border>
      <left style="medium">
        <color indexed="64"/>
      </left>
      <right/>
      <top style="thin">
        <color indexed="64"/>
      </top>
      <bottom/>
      <diagonal/>
    </border>
    <border>
      <left/>
      <right style="thin">
        <color indexed="64"/>
      </right>
      <top/>
      <bottom/>
      <diagonal/>
    </border>
    <border>
      <left/>
      <right/>
      <top/>
      <bottom style="thin">
        <color indexed="64"/>
      </bottom>
      <diagonal/>
    </border>
    <border>
      <left/>
      <right/>
      <top/>
      <bottom style="medium">
        <color indexed="64"/>
      </bottom>
      <diagonal/>
    </border>
    <border>
      <left style="thin">
        <color indexed="64"/>
      </left>
      <right/>
      <top/>
      <bottom/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/>
      <right/>
      <top style="thin">
        <color indexed="64"/>
      </top>
      <bottom/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thin">
        <color indexed="64"/>
      </right>
      <top/>
      <bottom style="medium">
        <color indexed="64"/>
      </bottom>
      <diagonal/>
    </border>
  </borders>
  <cellStyleXfs count="2">
    <xf numFmtId="0" fontId="0" fillId="0" borderId="0"/>
    <xf numFmtId="164" fontId="1" fillId="0" borderId="0" applyFont="0" applyFill="0" applyBorder="0" applyAlignment="0" applyProtection="0"/>
  </cellStyleXfs>
  <cellXfs count="119">
    <xf numFmtId="0" fontId="0" fillId="0" borderId="0" xfId="0"/>
    <xf numFmtId="10" fontId="0" fillId="0" borderId="0" xfId="0" applyNumberFormat="1"/>
    <xf numFmtId="9" fontId="0" fillId="0" borderId="0" xfId="0" applyNumberFormat="1"/>
    <xf numFmtId="164" fontId="0" fillId="0" borderId="0" xfId="1" applyFont="1"/>
    <xf numFmtId="0" fontId="2" fillId="0" borderId="0" xfId="0" applyFont="1"/>
    <xf numFmtId="10" fontId="2" fillId="0" borderId="0" xfId="0" applyNumberFormat="1" applyFont="1"/>
    <xf numFmtId="0" fontId="0" fillId="0" borderId="1" xfId="0" applyBorder="1" applyAlignment="1">
      <alignment horizontal="center"/>
    </xf>
    <xf numFmtId="0" fontId="0" fillId="0" borderId="0" xfId="0" applyAlignment="1">
      <alignment horizontal="center"/>
    </xf>
    <xf numFmtId="165" fontId="0" fillId="0" borderId="0" xfId="0" applyNumberFormat="1"/>
    <xf numFmtId="166" fontId="0" fillId="0" borderId="0" xfId="0" applyNumberFormat="1"/>
    <xf numFmtId="165" fontId="0" fillId="0" borderId="0" xfId="1" applyNumberFormat="1" applyFont="1"/>
    <xf numFmtId="0" fontId="2" fillId="2" borderId="1" xfId="0" applyFont="1" applyFill="1" applyBorder="1" applyAlignment="1">
      <alignment horizontal="center"/>
    </xf>
    <xf numFmtId="0" fontId="0" fillId="0" borderId="1" xfId="0" applyBorder="1" applyAlignment="1">
      <alignment horizontal="center" vertical="center"/>
    </xf>
    <xf numFmtId="0" fontId="0" fillId="0" borderId="1" xfId="0" applyBorder="1"/>
    <xf numFmtId="164" fontId="0" fillId="0" borderId="1" xfId="1" applyFont="1" applyBorder="1"/>
    <xf numFmtId="0" fontId="0" fillId="0" borderId="7" xfId="0" applyBorder="1"/>
    <xf numFmtId="164" fontId="0" fillId="0" borderId="9" xfId="1" applyFont="1" applyBorder="1"/>
    <xf numFmtId="0" fontId="0" fillId="0" borderId="9" xfId="0" applyBorder="1"/>
    <xf numFmtId="0" fontId="0" fillId="0" borderId="10" xfId="0" applyBorder="1"/>
    <xf numFmtId="0" fontId="0" fillId="0" borderId="6" xfId="0" applyBorder="1"/>
    <xf numFmtId="0" fontId="0" fillId="0" borderId="8" xfId="0" applyBorder="1"/>
    <xf numFmtId="0" fontId="0" fillId="0" borderId="13" xfId="0" applyBorder="1" applyAlignment="1">
      <alignment horizontal="center"/>
    </xf>
    <xf numFmtId="0" fontId="0" fillId="0" borderId="14" xfId="0" applyBorder="1" applyAlignment="1">
      <alignment horizontal="center"/>
    </xf>
    <xf numFmtId="0" fontId="0" fillId="3" borderId="6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 wrapText="1"/>
    </xf>
    <xf numFmtId="0" fontId="0" fillId="3" borderId="7" xfId="0" applyFill="1" applyBorder="1" applyAlignment="1">
      <alignment horizontal="center" vertical="center" wrapText="1"/>
    </xf>
    <xf numFmtId="0" fontId="0" fillId="3" borderId="15" xfId="0" applyFill="1" applyBorder="1" applyAlignment="1">
      <alignment horizontal="center" vertical="center"/>
    </xf>
    <xf numFmtId="0" fontId="0" fillId="3" borderId="2" xfId="0" applyFill="1" applyBorder="1" applyAlignment="1">
      <alignment horizontal="center" vertical="center"/>
    </xf>
    <xf numFmtId="0" fontId="0" fillId="3" borderId="15" xfId="0" applyFill="1" applyBorder="1" applyAlignment="1">
      <alignment horizontal="center" vertical="center" wrapText="1"/>
    </xf>
    <xf numFmtId="0" fontId="0" fillId="3" borderId="2" xfId="0" applyFill="1" applyBorder="1" applyAlignment="1">
      <alignment horizontal="center" vertical="center" wrapText="1"/>
    </xf>
    <xf numFmtId="0" fontId="0" fillId="3" borderId="16" xfId="0" applyFill="1" applyBorder="1" applyAlignment="1">
      <alignment horizontal="center" vertical="center" wrapText="1"/>
    </xf>
    <xf numFmtId="0" fontId="0" fillId="3" borderId="18" xfId="0" applyFill="1" applyBorder="1" applyAlignment="1">
      <alignment horizontal="center" vertical="center" wrapText="1"/>
    </xf>
    <xf numFmtId="0" fontId="0" fillId="3" borderId="19" xfId="0" applyFill="1" applyBorder="1" applyAlignment="1">
      <alignment horizontal="center" vertical="center"/>
    </xf>
    <xf numFmtId="0" fontId="0" fillId="0" borderId="18" xfId="0" applyBorder="1"/>
    <xf numFmtId="0" fontId="0" fillId="0" borderId="20" xfId="0" applyBorder="1"/>
    <xf numFmtId="0" fontId="2" fillId="0" borderId="1" xfId="0" applyFont="1" applyBorder="1" applyAlignment="1">
      <alignment horizontal="center"/>
    </xf>
    <xf numFmtId="0" fontId="0" fillId="0" borderId="1" xfId="0" applyBorder="1" applyAlignment="1">
      <alignment vertical="top"/>
    </xf>
    <xf numFmtId="0" fontId="0" fillId="0" borderId="1" xfId="0" applyBorder="1" applyAlignment="1">
      <alignment vertical="top" wrapText="1"/>
    </xf>
    <xf numFmtId="0" fontId="0" fillId="0" borderId="0" xfId="0" applyAlignment="1">
      <alignment vertical="top"/>
    </xf>
    <xf numFmtId="167" fontId="0" fillId="0" borderId="6" xfId="1" applyNumberFormat="1" applyFont="1" applyBorder="1"/>
    <xf numFmtId="167" fontId="0" fillId="0" borderId="8" xfId="1" applyNumberFormat="1" applyFont="1" applyBorder="1"/>
    <xf numFmtId="0" fontId="4" fillId="4" borderId="1" xfId="0" applyFont="1" applyFill="1" applyBorder="1" applyAlignment="1">
      <alignment horizontal="center" vertical="top"/>
    </xf>
    <xf numFmtId="0" fontId="4" fillId="0" borderId="1" xfId="0" applyFont="1" applyBorder="1" applyAlignment="1">
      <alignment horizontal="center" vertical="top"/>
    </xf>
    <xf numFmtId="10" fontId="3" fillId="0" borderId="0" xfId="0" applyNumberFormat="1" applyFont="1"/>
    <xf numFmtId="164" fontId="3" fillId="0" borderId="0" xfId="1" applyFont="1" applyBorder="1"/>
    <xf numFmtId="0" fontId="3" fillId="0" borderId="0" xfId="0" applyFont="1"/>
    <xf numFmtId="0" fontId="0" fillId="3" borderId="21" xfId="0" applyFill="1" applyBorder="1" applyAlignment="1">
      <alignment horizontal="center" vertical="center" wrapText="1"/>
    </xf>
    <xf numFmtId="0" fontId="0" fillId="3" borderId="22" xfId="0" applyFill="1" applyBorder="1" applyAlignment="1">
      <alignment horizontal="center" vertical="center" wrapText="1"/>
    </xf>
    <xf numFmtId="0" fontId="0" fillId="3" borderId="1" xfId="0" applyFill="1" applyBorder="1" applyAlignment="1">
      <alignment horizontal="center" vertical="center"/>
    </xf>
    <xf numFmtId="0" fontId="0" fillId="3" borderId="11" xfId="0" applyFill="1" applyBorder="1" applyAlignment="1">
      <alignment vertical="center" wrapText="1"/>
    </xf>
    <xf numFmtId="0" fontId="0" fillId="3" borderId="12" xfId="0" applyFill="1" applyBorder="1" applyAlignment="1">
      <alignment vertical="center"/>
    </xf>
    <xf numFmtId="0" fontId="0" fillId="3" borderId="6" xfId="0" applyFill="1" applyBorder="1" applyAlignment="1">
      <alignment horizontal="center" vertical="center"/>
    </xf>
    <xf numFmtId="0" fontId="0" fillId="3" borderId="18" xfId="0" applyFill="1" applyBorder="1" applyAlignment="1">
      <alignment horizontal="center" vertical="center"/>
    </xf>
    <xf numFmtId="0" fontId="0" fillId="3" borderId="7" xfId="0" applyFill="1" applyBorder="1" applyAlignment="1">
      <alignment horizontal="center" vertical="center"/>
    </xf>
    <xf numFmtId="0" fontId="0" fillId="3" borderId="21" xfId="0" applyFill="1" applyBorder="1" applyAlignment="1">
      <alignment horizontal="center" vertical="center"/>
    </xf>
    <xf numFmtId="0" fontId="0" fillId="3" borderId="16" xfId="0" applyFill="1" applyBorder="1" applyAlignment="1">
      <alignment horizontal="center" vertical="center"/>
    </xf>
    <xf numFmtId="0" fontId="0" fillId="3" borderId="22" xfId="0" applyFill="1" applyBorder="1" applyAlignment="1">
      <alignment horizontal="center" vertical="center"/>
    </xf>
    <xf numFmtId="0" fontId="0" fillId="0" borderId="27" xfId="0" applyBorder="1"/>
    <xf numFmtId="0" fontId="0" fillId="0" borderId="24" xfId="0" applyBorder="1"/>
    <xf numFmtId="0" fontId="0" fillId="0" borderId="28" xfId="0" applyBorder="1"/>
    <xf numFmtId="0" fontId="0" fillId="0" borderId="31" xfId="0" applyBorder="1"/>
    <xf numFmtId="9" fontId="0" fillId="0" borderId="1" xfId="0" applyNumberFormat="1" applyBorder="1"/>
    <xf numFmtId="0" fontId="0" fillId="0" borderId="1" xfId="0" applyBorder="1" applyAlignment="1">
      <alignment vertical="center"/>
    </xf>
    <xf numFmtId="9" fontId="0" fillId="0" borderId="1" xfId="0" applyNumberFormat="1" applyBorder="1" applyAlignment="1">
      <alignment horizontal="center" vertical="center"/>
    </xf>
    <xf numFmtId="0" fontId="0" fillId="0" borderId="6" xfId="1" applyNumberFormat="1" applyFont="1" applyBorder="1"/>
    <xf numFmtId="168" fontId="0" fillId="0" borderId="6" xfId="1" applyNumberFormat="1" applyFont="1" applyBorder="1"/>
    <xf numFmtId="168" fontId="0" fillId="0" borderId="0" xfId="1" applyNumberFormat="1" applyFont="1" applyBorder="1"/>
    <xf numFmtId="0" fontId="0" fillId="0" borderId="33" xfId="0" applyBorder="1" applyAlignment="1">
      <alignment horizontal="center"/>
    </xf>
    <xf numFmtId="168" fontId="0" fillId="0" borderId="1" xfId="0" applyNumberFormat="1" applyBorder="1"/>
    <xf numFmtId="0" fontId="0" fillId="4" borderId="1" xfId="0" applyFill="1" applyBorder="1"/>
    <xf numFmtId="12" fontId="0" fillId="0" borderId="1" xfId="0" applyNumberFormat="1" applyBorder="1"/>
    <xf numFmtId="0" fontId="0" fillId="0" borderId="25" xfId="0" applyBorder="1" applyAlignment="1">
      <alignment horizontal="center"/>
    </xf>
    <xf numFmtId="164" fontId="0" fillId="0" borderId="0" xfId="0" applyNumberFormat="1"/>
    <xf numFmtId="0" fontId="0" fillId="4" borderId="1" xfId="0" applyFill="1" applyBorder="1" applyAlignment="1">
      <alignment horizontal="center"/>
    </xf>
    <xf numFmtId="168" fontId="0" fillId="0" borderId="0" xfId="0" applyNumberFormat="1"/>
    <xf numFmtId="168" fontId="0" fillId="0" borderId="2" xfId="0" applyNumberFormat="1" applyBorder="1"/>
    <xf numFmtId="169" fontId="0" fillId="0" borderId="6" xfId="1" applyNumberFormat="1" applyFont="1" applyBorder="1"/>
    <xf numFmtId="167" fontId="0" fillId="0" borderId="0" xfId="1" applyNumberFormat="1" applyFont="1" applyBorder="1"/>
    <xf numFmtId="168" fontId="0" fillId="0" borderId="31" xfId="0" applyNumberFormat="1" applyBorder="1"/>
    <xf numFmtId="0" fontId="0" fillId="4" borderId="2" xfId="0" applyFill="1" applyBorder="1" applyAlignment="1">
      <alignment horizontal="center"/>
    </xf>
    <xf numFmtId="0" fontId="0" fillId="4" borderId="0" xfId="0" applyFill="1" applyAlignment="1">
      <alignment horizontal="center"/>
    </xf>
    <xf numFmtId="0" fontId="0" fillId="5" borderId="1" xfId="0" applyFill="1" applyBorder="1"/>
    <xf numFmtId="168" fontId="0" fillId="0" borderId="1" xfId="1" applyNumberFormat="1" applyFont="1" applyBorder="1"/>
    <xf numFmtId="0" fontId="0" fillId="0" borderId="2" xfId="0" applyBorder="1" applyAlignment="1">
      <alignment horizontal="center"/>
    </xf>
    <xf numFmtId="168" fontId="0" fillId="4" borderId="6" xfId="1" applyNumberFormat="1" applyFont="1" applyFill="1" applyBorder="1"/>
    <xf numFmtId="0" fontId="0" fillId="4" borderId="33" xfId="0" applyFill="1" applyBorder="1" applyAlignment="1">
      <alignment horizontal="center"/>
    </xf>
    <xf numFmtId="165" fontId="0" fillId="0" borderId="6" xfId="1" applyNumberFormat="1" applyFont="1" applyBorder="1"/>
    <xf numFmtId="165" fontId="0" fillId="0" borderId="2" xfId="0" applyNumberFormat="1" applyBorder="1"/>
    <xf numFmtId="0" fontId="0" fillId="0" borderId="31" xfId="0" applyBorder="1" applyAlignment="1">
      <alignment horizontal="center" vertical="center"/>
    </xf>
    <xf numFmtId="170" fontId="0" fillId="0" borderId="1" xfId="0" applyNumberFormat="1" applyBorder="1"/>
    <xf numFmtId="170" fontId="0" fillId="5" borderId="1" xfId="0" applyNumberFormat="1" applyFill="1" applyBorder="1"/>
    <xf numFmtId="0" fontId="2" fillId="0" borderId="1" xfId="0" applyFont="1" applyBorder="1" applyAlignment="1">
      <alignment horizontal="center" vertical="center"/>
    </xf>
    <xf numFmtId="0" fontId="2" fillId="0" borderId="1" xfId="0" applyFont="1" applyBorder="1" applyAlignment="1">
      <alignment horizontal="center"/>
    </xf>
    <xf numFmtId="0" fontId="2" fillId="3" borderId="3" xfId="0" applyFont="1" applyFill="1" applyBorder="1" applyAlignment="1">
      <alignment horizontal="center" vertical="center"/>
    </xf>
    <xf numFmtId="0" fontId="2" fillId="3" borderId="4" xfId="0" applyFont="1" applyFill="1" applyBorder="1" applyAlignment="1">
      <alignment horizontal="center" vertical="center"/>
    </xf>
    <xf numFmtId="0" fontId="2" fillId="3" borderId="5" xfId="0" applyFont="1" applyFill="1" applyBorder="1" applyAlignment="1">
      <alignment horizontal="center" vertical="center"/>
    </xf>
    <xf numFmtId="0" fontId="2" fillId="3" borderId="17" xfId="0" applyFont="1" applyFill="1" applyBorder="1" applyAlignment="1">
      <alignment horizontal="center" vertical="center"/>
    </xf>
    <xf numFmtId="0" fontId="0" fillId="3" borderId="11" xfId="0" applyFill="1" applyBorder="1" applyAlignment="1">
      <alignment horizontal="center" vertical="center" wrapText="1"/>
    </xf>
    <xf numFmtId="0" fontId="0" fillId="3" borderId="12" xfId="0" applyFill="1" applyBorder="1" applyAlignment="1">
      <alignment horizontal="center" vertical="center" wrapText="1"/>
    </xf>
    <xf numFmtId="0" fontId="0" fillId="0" borderId="1" xfId="0" applyBorder="1" applyAlignment="1">
      <alignment horizontal="center"/>
    </xf>
    <xf numFmtId="0" fontId="0" fillId="0" borderId="19" xfId="0" applyBorder="1" applyAlignment="1">
      <alignment horizontal="center"/>
    </xf>
    <xf numFmtId="0" fontId="0" fillId="0" borderId="29" xfId="0" applyBorder="1" applyAlignment="1">
      <alignment horizontal="center"/>
    </xf>
    <xf numFmtId="0" fontId="0" fillId="0" borderId="30" xfId="0" applyBorder="1" applyAlignment="1">
      <alignment horizontal="center"/>
    </xf>
    <xf numFmtId="0" fontId="0" fillId="0" borderId="26" xfId="0" applyBorder="1" applyAlignment="1">
      <alignment horizontal="center"/>
    </xf>
    <xf numFmtId="0" fontId="0" fillId="0" borderId="0" xfId="0" applyAlignment="1">
      <alignment horizontal="center"/>
    </xf>
    <xf numFmtId="0" fontId="0" fillId="0" borderId="23" xfId="0" applyBorder="1" applyAlignment="1">
      <alignment horizontal="center"/>
    </xf>
    <xf numFmtId="0" fontId="0" fillId="4" borderId="1" xfId="0" applyFill="1" applyBorder="1" applyAlignment="1">
      <alignment horizontal="center"/>
    </xf>
    <xf numFmtId="0" fontId="0" fillId="0" borderId="25" xfId="0" applyBorder="1" applyAlignment="1">
      <alignment horizontal="center"/>
    </xf>
    <xf numFmtId="0" fontId="0" fillId="0" borderId="2" xfId="0" applyBorder="1" applyAlignment="1">
      <alignment horizontal="center" vertical="center" wrapText="1"/>
    </xf>
    <xf numFmtId="0" fontId="0" fillId="0" borderId="31" xfId="0" applyBorder="1" applyAlignment="1">
      <alignment horizontal="center" vertical="center" wrapText="1"/>
    </xf>
    <xf numFmtId="0" fontId="0" fillId="0" borderId="32" xfId="0" applyBorder="1" applyAlignment="1">
      <alignment horizontal="center" vertical="center" wrapText="1"/>
    </xf>
    <xf numFmtId="0" fontId="0" fillId="3" borderId="11" xfId="0" applyFill="1" applyBorder="1" applyAlignment="1">
      <alignment horizontal="center" vertical="center"/>
    </xf>
    <xf numFmtId="0" fontId="0" fillId="3" borderId="12" xfId="0" applyFill="1" applyBorder="1" applyAlignment="1">
      <alignment horizontal="center" vertical="center"/>
    </xf>
    <xf numFmtId="0" fontId="0" fillId="5" borderId="25" xfId="0" applyFill="1" applyBorder="1" applyAlignment="1">
      <alignment horizontal="left"/>
    </xf>
    <xf numFmtId="0" fontId="0" fillId="5" borderId="34" xfId="0" applyFill="1" applyBorder="1" applyAlignment="1">
      <alignment horizontal="left"/>
    </xf>
    <xf numFmtId="0" fontId="0" fillId="0" borderId="2" xfId="0" applyBorder="1" applyAlignment="1">
      <alignment horizontal="center" vertical="center"/>
    </xf>
    <xf numFmtId="0" fontId="0" fillId="0" borderId="32" xfId="0" applyBorder="1" applyAlignment="1">
      <alignment horizontal="center" vertical="center"/>
    </xf>
    <xf numFmtId="0" fontId="0" fillId="0" borderId="1" xfId="0" applyBorder="1" applyAlignment="1">
      <alignment horizontal="center" vertical="center" wrapText="1"/>
    </xf>
    <xf numFmtId="0" fontId="0" fillId="0" borderId="0" xfId="0" applyBorder="1" applyAlignment="1">
      <alignment horizontal="center"/>
    </xf>
  </cellXfs>
  <cellStyles count="2">
    <cellStyle name="Comma" xfId="1" builtinId="3"/>
    <cellStyle name="Normal" xfId="0" builtinId="0"/>
  </cellStyles>
  <dxfs count="0"/>
  <tableStyles count="0" defaultTableStyle="TableStyleMedium2" defaultPivotStyle="PivotStyleLight16"/>
  <colors>
    <mruColors>
      <color rgb="FF000099"/>
      <color rgb="FF003399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styles" Target="styles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externalLink" Target="externalLinks/externalLink1.xml"/><Relationship Id="rId5" Type="http://schemas.openxmlformats.org/officeDocument/2006/relationships/worksheet" Target="worksheets/sheet5.xml"/><Relationship Id="rId15" Type="http://schemas.openxmlformats.org/officeDocument/2006/relationships/calcChain" Target="calcChain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emf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image" Target="../media/image2.emf"/></Relationships>
</file>

<file path=xl/drawings/_rels/drawing3.xml.rels><?xml version="1.0" encoding="UTF-8" standalone="yes"?>
<Relationships xmlns="http://schemas.openxmlformats.org/package/2006/relationships"><Relationship Id="rId1" Type="http://schemas.openxmlformats.org/officeDocument/2006/relationships/image" Target="../media/image3.emf"/></Relationships>
</file>

<file path=xl/drawings/_rels/drawing4.xml.rels><?xml version="1.0" encoding="UTF-8" standalone="yes"?>
<Relationships xmlns="http://schemas.openxmlformats.org/package/2006/relationships"><Relationship Id="rId1" Type="http://schemas.openxmlformats.org/officeDocument/2006/relationships/image" Target="../media/image4.pn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222250</xdr:colOff>
      <xdr:row>3</xdr:row>
      <xdr:rowOff>6350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BFB52142-C17B-AB36-09C9-065D188263B7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4150"/>
          <a:ext cx="4394200" cy="374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222250</xdr:colOff>
      <xdr:row>3</xdr:row>
      <xdr:rowOff>6350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7CEF5C1E-1CC0-F712-1E00-2BC924F3EB2A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4150"/>
          <a:ext cx="4394200" cy="374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3.xml><?xml version="1.0" encoding="utf-8"?>
<xdr:wsDr xmlns:xdr="http://schemas.openxmlformats.org/drawingml/2006/spreadsheetDrawing" xmlns:a="http://schemas.openxmlformats.org/drawingml/2006/main">
  <xdr:twoCellAnchor editAs="oneCell">
    <xdr:from>
      <xdr:col>1</xdr:col>
      <xdr:colOff>0</xdr:colOff>
      <xdr:row>1</xdr:row>
      <xdr:rowOff>0</xdr:rowOff>
    </xdr:from>
    <xdr:to>
      <xdr:col>12</xdr:col>
      <xdr:colOff>222250</xdr:colOff>
      <xdr:row>3</xdr:row>
      <xdr:rowOff>6350</xdr:rowOff>
    </xdr:to>
    <xdr:pic>
      <xdr:nvPicPr>
        <xdr:cNvPr id="3" name="Picture 2">
          <a:extLst>
            <a:ext uri="{FF2B5EF4-FFF2-40B4-BE49-F238E27FC236}">
              <a16:creationId xmlns:a16="http://schemas.microsoft.com/office/drawing/2014/main" id="{5856D87B-7740-C747-FFA9-7BC3CED0476D}"/>
            </a:ext>
          </a:extLst>
        </xdr:cNvPr>
        <xdr:cNvPicPr>
          <a:picLocks noChangeAspect="1" noChangeArrowheads="1"/>
        </xdr:cNvPicPr>
      </xdr:nvPicPr>
      <xdr:blipFill>
        <a:blip xmlns:r="http://schemas.openxmlformats.org/officeDocument/2006/relationships" r:embed="rId1">
          <a:extLst>
            <a:ext uri="{28A0092B-C50C-407E-A947-70E740481C1C}">
              <a14:useLocalDpi xmlns:a14="http://schemas.microsoft.com/office/drawing/2010/main" val="0"/>
            </a:ext>
          </a:extLst>
        </a:blip>
        <a:srcRect/>
        <a:stretch>
          <a:fillRect/>
        </a:stretch>
      </xdr:blipFill>
      <xdr:spPr bwMode="auto">
        <a:xfrm>
          <a:off x="609600" y="184150"/>
          <a:ext cx="4394200" cy="374650"/>
        </a:xfrm>
        <a:prstGeom prst="rect">
          <a:avLst/>
        </a:prstGeom>
        <a:noFill/>
        <a:extLst>
          <a:ext uri="{909E8E84-426E-40DD-AFC4-6F175D3DCCD1}">
            <a14:hiddenFill xmlns:a14="http://schemas.microsoft.com/office/drawing/2010/main">
              <a:solidFill>
                <a:srgbClr val="FFFFFF"/>
              </a:solidFill>
            </a14:hiddenFill>
          </a:ext>
        </a:extLst>
      </xdr:spPr>
    </xdr:pic>
    <xdr:clientData/>
  </xdr:twoCellAnchor>
</xdr:wsDr>
</file>

<file path=xl/drawings/drawing4.xml><?xml version="1.0" encoding="utf-8"?>
<xdr:wsDr xmlns:xdr="http://schemas.openxmlformats.org/drawingml/2006/spreadsheetDrawing" xmlns:a="http://schemas.openxmlformats.org/drawingml/2006/main">
  <xdr:twoCellAnchor editAs="oneCell">
    <xdr:from>
      <xdr:col>8</xdr:col>
      <xdr:colOff>260350</xdr:colOff>
      <xdr:row>11</xdr:row>
      <xdr:rowOff>25400</xdr:rowOff>
    </xdr:from>
    <xdr:to>
      <xdr:col>14</xdr:col>
      <xdr:colOff>709930</xdr:colOff>
      <xdr:row>26</xdr:row>
      <xdr:rowOff>130175</xdr:rowOff>
    </xdr:to>
    <xdr:pic>
      <xdr:nvPicPr>
        <xdr:cNvPr id="2" name="Picture 1">
          <a:extLst>
            <a:ext uri="{FF2B5EF4-FFF2-40B4-BE49-F238E27FC236}">
              <a16:creationId xmlns:a16="http://schemas.microsoft.com/office/drawing/2014/main" id="{DA0455BD-5D38-D2A9-D28D-99CFE1C896AD}"/>
            </a:ext>
          </a:extLst>
        </xdr:cNvPr>
        <xdr:cNvPicPr>
          <a:picLocks noChangeAspect="1"/>
        </xdr:cNvPicPr>
      </xdr:nvPicPr>
      <xdr:blipFill>
        <a:blip xmlns:r="http://schemas.openxmlformats.org/officeDocument/2006/relationships" r:embed="rId1"/>
        <a:stretch>
          <a:fillRect/>
        </a:stretch>
      </xdr:blipFill>
      <xdr:spPr>
        <a:xfrm>
          <a:off x="5956300" y="2686050"/>
          <a:ext cx="5072380" cy="2867025"/>
        </a:xfrm>
        <a:prstGeom prst="rect">
          <a:avLst/>
        </a:prstGeom>
      </xdr:spPr>
    </xdr:pic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2" Type="http://schemas.openxmlformats.org/officeDocument/2006/relationships/externalLinkPath" Target="https://d.docs.live.net/1379220ce405bcae/MMT%20Supply%20Chain%20Management/Semester%205/Tesis%20-%206%20sks/Supplier%20Data%20and%20Expert%5eLJ%20Kuisioner%2016%20Oct_DF%20rev2.xlsx" TargetMode="External"/><Relationship Id="rId1" Type="http://schemas.openxmlformats.org/officeDocument/2006/relationships/externalLinkPath" Target="https://d.docs.live.net/1379220ce405bcae/MMT%20Supply%20Chain%20Management/Semester%205/Tesis%20-%206%20sks/Supplier%20Data%20and%20Expert%5eLJ%20Kuisioner%2016%20Oct_DF%20rev2.xlsx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xmlns:xxl21="http://schemas.microsoft.com/office/spreadsheetml/2021/extlinks2021" mc:Ignorable="x14 xxl21">
  <externalBook xmlns:r="http://schemas.openxmlformats.org/officeDocument/2006/relationships" r:id="rId1">
    <xxl21:alternateUrls>
      <xxl21:absoluteUrl r:id="rId2"/>
    </xxl21:alternateUrls>
    <sheetNames>
      <sheetName val="Kuesioner Expert 3"/>
      <sheetName val="Kuesioner Expert 2"/>
      <sheetName val="Kuesioner Expert 1"/>
      <sheetName val="Supplier Info"/>
      <sheetName val="AHP"/>
      <sheetName val="AHP edit"/>
      <sheetName val="AHP-Topsis"/>
      <sheetName val="Detail Expert"/>
    </sheetNames>
    <sheetDataSet>
      <sheetData sheetId="0"/>
      <sheetData sheetId="1"/>
      <sheetData sheetId="2"/>
      <sheetData sheetId="3"/>
      <sheetData sheetId="4"/>
      <sheetData sheetId="5">
        <row r="53">
          <cell r="M53">
            <v>0.47067968245906627</v>
          </cell>
        </row>
        <row r="54">
          <cell r="M54">
            <v>0.28033561062963952</v>
          </cell>
        </row>
        <row r="55">
          <cell r="M55">
            <v>0.14412133242966454</v>
          </cell>
        </row>
        <row r="56">
          <cell r="M56">
            <v>0.10486337448162966</v>
          </cell>
        </row>
        <row r="80">
          <cell r="K80">
            <v>0.14710430976485797</v>
          </cell>
        </row>
        <row r="81">
          <cell r="K81">
            <v>0.60416106049054197</v>
          </cell>
        </row>
        <row r="82">
          <cell r="K82">
            <v>0.24873462974460012</v>
          </cell>
        </row>
        <row r="105">
          <cell r="K105">
            <v>0.57748348060173982</v>
          </cell>
        </row>
        <row r="106">
          <cell r="K106">
            <v>0.11382552898019534</v>
          </cell>
        </row>
        <row r="107">
          <cell r="K107">
            <v>0.3086909904180648</v>
          </cell>
        </row>
        <row r="130">
          <cell r="K130">
            <v>0.49936870720612281</v>
          </cell>
        </row>
        <row r="131">
          <cell r="K131">
            <v>0.27915269746013238</v>
          </cell>
        </row>
        <row r="132">
          <cell r="K132">
            <v>0.22147859533374478</v>
          </cell>
        </row>
      </sheetData>
      <sheetData sheetId="6"/>
      <sheetData sheetId="7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4EB1D3C-CE48-4635-9511-B8048881BD21}">
  <dimension ref="B5:Z45"/>
  <sheetViews>
    <sheetView topLeftCell="J37" zoomScale="115" zoomScaleNormal="115" workbookViewId="0">
      <selection activeCell="V27" sqref="V27:Y30"/>
    </sheetView>
  </sheetViews>
  <sheetFormatPr defaultRowHeight="14.5" x14ac:dyDescent="0.35"/>
  <cols>
    <col min="2" max="2" width="24.26953125" customWidth="1"/>
    <col min="3" max="19" width="3.54296875" customWidth="1"/>
    <col min="20" max="20" width="24.26953125" customWidth="1"/>
    <col min="22" max="22" width="10.1796875" bestFit="1" customWidth="1"/>
  </cols>
  <sheetData>
    <row r="5" spans="2:26" x14ac:dyDescent="0.35"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</row>
    <row r="6" spans="2:26" x14ac:dyDescent="0.35">
      <c r="B6" s="4" t="s">
        <v>52</v>
      </c>
    </row>
    <row r="7" spans="2:26" x14ac:dyDescent="0.35">
      <c r="B7" s="91" t="s">
        <v>46</v>
      </c>
      <c r="C7" s="92" t="s">
        <v>50</v>
      </c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1" t="s">
        <v>46</v>
      </c>
      <c r="V7" t="s">
        <v>46</v>
      </c>
      <c r="W7" t="s">
        <v>82</v>
      </c>
      <c r="X7" t="s">
        <v>83</v>
      </c>
      <c r="Y7" t="s">
        <v>84</v>
      </c>
      <c r="Z7" t="s">
        <v>85</v>
      </c>
    </row>
    <row r="8" spans="2:26" x14ac:dyDescent="0.35">
      <c r="B8" s="91"/>
      <c r="C8" s="35">
        <v>9</v>
      </c>
      <c r="D8" s="35">
        <v>8</v>
      </c>
      <c r="E8" s="35">
        <v>7</v>
      </c>
      <c r="F8" s="35">
        <v>6</v>
      </c>
      <c r="G8" s="35">
        <v>5</v>
      </c>
      <c r="H8" s="35">
        <v>4</v>
      </c>
      <c r="I8" s="35">
        <v>3</v>
      </c>
      <c r="J8" s="35">
        <v>2</v>
      </c>
      <c r="K8" s="35">
        <v>1</v>
      </c>
      <c r="L8" s="35">
        <v>2</v>
      </c>
      <c r="M8" s="35">
        <v>3</v>
      </c>
      <c r="N8" s="35">
        <v>4</v>
      </c>
      <c r="O8" s="35">
        <v>5</v>
      </c>
      <c r="P8" s="35">
        <v>6</v>
      </c>
      <c r="Q8" s="35">
        <v>7</v>
      </c>
      <c r="R8" s="35">
        <v>8</v>
      </c>
      <c r="S8" s="35">
        <v>9</v>
      </c>
      <c r="T8" s="91"/>
      <c r="V8" t="s">
        <v>82</v>
      </c>
      <c r="W8">
        <v>1</v>
      </c>
      <c r="X8">
        <f>1/7</f>
        <v>0.14285714285714285</v>
      </c>
      <c r="Y8">
        <v>3</v>
      </c>
      <c r="Z8">
        <v>3</v>
      </c>
    </row>
    <row r="9" spans="2:26" x14ac:dyDescent="0.35">
      <c r="B9" s="36" t="s">
        <v>47</v>
      </c>
      <c r="C9" s="36"/>
      <c r="D9" s="36"/>
      <c r="E9" s="36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41" t="s">
        <v>65</v>
      </c>
      <c r="R9" s="36"/>
      <c r="S9" s="36"/>
      <c r="T9" s="36" t="s">
        <v>48</v>
      </c>
      <c r="V9" t="s">
        <v>83</v>
      </c>
      <c r="W9">
        <f>1/X8</f>
        <v>7</v>
      </c>
      <c r="X9">
        <v>1</v>
      </c>
      <c r="Y9">
        <v>5</v>
      </c>
      <c r="Z9">
        <v>7</v>
      </c>
    </row>
    <row r="10" spans="2:26" x14ac:dyDescent="0.35">
      <c r="B10" s="36" t="s">
        <v>47</v>
      </c>
      <c r="C10" s="36"/>
      <c r="D10" s="36"/>
      <c r="E10" s="36"/>
      <c r="F10" s="36"/>
      <c r="G10" s="36"/>
      <c r="H10" s="36"/>
      <c r="I10" s="41" t="s">
        <v>65</v>
      </c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 t="s">
        <v>49</v>
      </c>
      <c r="V10" t="s">
        <v>84</v>
      </c>
      <c r="W10">
        <f>1/Y8</f>
        <v>0.33333333333333331</v>
      </c>
      <c r="X10">
        <f>1/Y9</f>
        <v>0.2</v>
      </c>
      <c r="Y10">
        <v>1</v>
      </c>
      <c r="Z10">
        <v>7</v>
      </c>
    </row>
    <row r="11" spans="2:26" x14ac:dyDescent="0.35">
      <c r="B11" s="36" t="s">
        <v>47</v>
      </c>
      <c r="C11" s="36"/>
      <c r="D11" s="36"/>
      <c r="E11" s="36"/>
      <c r="F11" s="36"/>
      <c r="G11" s="36"/>
      <c r="H11" s="36"/>
      <c r="I11" s="41" t="s">
        <v>65</v>
      </c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 t="s">
        <v>51</v>
      </c>
      <c r="V11" t="s">
        <v>85</v>
      </c>
      <c r="W11">
        <f>1/Z8</f>
        <v>0.33333333333333331</v>
      </c>
      <c r="X11">
        <f>1/Z9</f>
        <v>0.14285714285714285</v>
      </c>
      <c r="Y11">
        <f>1/Z10</f>
        <v>0.14285714285714285</v>
      </c>
      <c r="Z11">
        <v>1</v>
      </c>
    </row>
    <row r="12" spans="2:26" x14ac:dyDescent="0.35">
      <c r="B12" s="36" t="s">
        <v>48</v>
      </c>
      <c r="C12" s="36"/>
      <c r="D12" s="36"/>
      <c r="E12" s="41" t="s">
        <v>65</v>
      </c>
      <c r="F12" s="36"/>
      <c r="G12" s="36"/>
      <c r="H12" s="36"/>
      <c r="I12" s="36"/>
      <c r="J12" s="36"/>
      <c r="K12" s="36"/>
      <c r="L12" s="36"/>
      <c r="M12" s="36"/>
      <c r="N12" s="36"/>
      <c r="O12" s="36"/>
      <c r="P12" s="36"/>
      <c r="Q12" s="36"/>
      <c r="R12" s="36"/>
      <c r="S12" s="36"/>
      <c r="T12" s="36" t="s">
        <v>49</v>
      </c>
    </row>
    <row r="13" spans="2:26" x14ac:dyDescent="0.35">
      <c r="B13" s="36" t="s">
        <v>48</v>
      </c>
      <c r="C13" s="36"/>
      <c r="D13" s="36"/>
      <c r="E13" s="36"/>
      <c r="F13" s="36"/>
      <c r="G13" s="41" t="s">
        <v>65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 t="s">
        <v>51</v>
      </c>
    </row>
    <row r="14" spans="2:26" x14ac:dyDescent="0.35">
      <c r="B14" s="36" t="s">
        <v>49</v>
      </c>
      <c r="C14" s="36"/>
      <c r="D14" s="36"/>
      <c r="E14" s="41" t="s">
        <v>65</v>
      </c>
      <c r="F14" s="36"/>
      <c r="G14" s="36"/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 t="s">
        <v>51</v>
      </c>
    </row>
    <row r="16" spans="2:26" x14ac:dyDescent="0.35">
      <c r="B16" s="4" t="s">
        <v>58</v>
      </c>
    </row>
    <row r="17" spans="2:26" x14ac:dyDescent="0.35">
      <c r="B17" s="91" t="s">
        <v>53</v>
      </c>
      <c r="C17" s="92" t="s">
        <v>50</v>
      </c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1" t="s">
        <v>53</v>
      </c>
      <c r="V17" t="s">
        <v>103</v>
      </c>
      <c r="W17" t="s">
        <v>21</v>
      </c>
      <c r="X17" t="s">
        <v>22</v>
      </c>
      <c r="Y17" t="s">
        <v>104</v>
      </c>
      <c r="Z17" t="s">
        <v>20</v>
      </c>
    </row>
    <row r="18" spans="2:26" x14ac:dyDescent="0.35">
      <c r="B18" s="91"/>
      <c r="C18" s="35">
        <v>9</v>
      </c>
      <c r="D18" s="35">
        <v>8</v>
      </c>
      <c r="E18" s="35">
        <v>7</v>
      </c>
      <c r="F18" s="35">
        <v>6</v>
      </c>
      <c r="G18" s="35">
        <v>5</v>
      </c>
      <c r="H18" s="35">
        <v>4</v>
      </c>
      <c r="I18" s="35">
        <v>3</v>
      </c>
      <c r="J18" s="35">
        <v>2</v>
      </c>
      <c r="K18" s="35">
        <v>1</v>
      </c>
      <c r="L18" s="35">
        <v>2</v>
      </c>
      <c r="M18" s="35">
        <v>3</v>
      </c>
      <c r="N18" s="35">
        <v>4</v>
      </c>
      <c r="O18" s="35">
        <v>5</v>
      </c>
      <c r="P18" s="35">
        <v>6</v>
      </c>
      <c r="Q18" s="35">
        <v>7</v>
      </c>
      <c r="R18" s="35">
        <v>8</v>
      </c>
      <c r="S18" s="35">
        <v>9</v>
      </c>
      <c r="T18" s="91"/>
      <c r="V18" t="s">
        <v>21</v>
      </c>
      <c r="W18">
        <v>1</v>
      </c>
      <c r="X18">
        <v>5</v>
      </c>
      <c r="Y18">
        <v>5</v>
      </c>
      <c r="Z18">
        <v>5</v>
      </c>
    </row>
    <row r="19" spans="2:26" x14ac:dyDescent="0.35">
      <c r="B19" s="36" t="s">
        <v>21</v>
      </c>
      <c r="C19" s="36"/>
      <c r="D19" s="36"/>
      <c r="E19" s="36"/>
      <c r="F19" s="36"/>
      <c r="G19" s="41" t="s">
        <v>65</v>
      </c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42"/>
      <c r="T19" s="37" t="s">
        <v>22</v>
      </c>
      <c r="V19" t="s">
        <v>22</v>
      </c>
      <c r="W19">
        <f>1/X18</f>
        <v>0.2</v>
      </c>
      <c r="X19">
        <v>1</v>
      </c>
      <c r="Y19">
        <v>3</v>
      </c>
      <c r="Z19">
        <v>3</v>
      </c>
    </row>
    <row r="20" spans="2:26" x14ac:dyDescent="0.35">
      <c r="B20" s="36" t="s">
        <v>21</v>
      </c>
      <c r="C20" s="36"/>
      <c r="D20" s="36"/>
      <c r="E20" s="36"/>
      <c r="F20" s="36"/>
      <c r="G20" s="41" t="s">
        <v>65</v>
      </c>
      <c r="H20" s="36"/>
      <c r="I20" s="36"/>
      <c r="J20" s="36"/>
      <c r="K20" s="36"/>
      <c r="L20" s="36"/>
      <c r="M20" s="36"/>
      <c r="N20" s="36"/>
      <c r="O20" s="36"/>
      <c r="P20" s="36"/>
      <c r="Q20" s="36"/>
      <c r="R20" s="36"/>
      <c r="S20" s="36"/>
      <c r="T20" s="37" t="s">
        <v>54</v>
      </c>
      <c r="V20" t="s">
        <v>104</v>
      </c>
      <c r="W20">
        <f>1/Y18</f>
        <v>0.2</v>
      </c>
      <c r="X20">
        <f>1/Y19</f>
        <v>0.33333333333333331</v>
      </c>
      <c r="Y20">
        <v>1</v>
      </c>
      <c r="Z20">
        <f>1/5</f>
        <v>0.2</v>
      </c>
    </row>
    <row r="21" spans="2:26" x14ac:dyDescent="0.35">
      <c r="B21" s="36" t="s">
        <v>21</v>
      </c>
      <c r="C21" s="36"/>
      <c r="D21" s="36"/>
      <c r="E21" s="36"/>
      <c r="F21" s="36"/>
      <c r="G21" s="41" t="s">
        <v>65</v>
      </c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7" t="s">
        <v>20</v>
      </c>
      <c r="V21" t="s">
        <v>20</v>
      </c>
      <c r="W21">
        <f>1/Z18</f>
        <v>0.2</v>
      </c>
      <c r="X21">
        <f>1/Z19</f>
        <v>0.33333333333333331</v>
      </c>
      <c r="Y21">
        <f>1/Z20</f>
        <v>5</v>
      </c>
      <c r="Z21">
        <v>1</v>
      </c>
    </row>
    <row r="22" spans="2:26" x14ac:dyDescent="0.35">
      <c r="B22" s="36" t="s">
        <v>22</v>
      </c>
      <c r="C22" s="36"/>
      <c r="D22" s="36"/>
      <c r="E22" s="36"/>
      <c r="F22" s="36"/>
      <c r="G22" s="36"/>
      <c r="H22" s="36"/>
      <c r="I22" s="41" t="s">
        <v>65</v>
      </c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7" t="s">
        <v>54</v>
      </c>
    </row>
    <row r="23" spans="2:26" ht="43.5" x14ac:dyDescent="0.35">
      <c r="B23" s="36" t="s">
        <v>22</v>
      </c>
      <c r="C23" s="36"/>
      <c r="D23" s="36"/>
      <c r="E23" s="36"/>
      <c r="F23" s="36"/>
      <c r="G23" s="36"/>
      <c r="H23" s="36"/>
      <c r="I23" s="41" t="s">
        <v>65</v>
      </c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7" t="s">
        <v>55</v>
      </c>
    </row>
    <row r="24" spans="2:26" ht="43.5" x14ac:dyDescent="0.35">
      <c r="B24" s="37" t="s">
        <v>54</v>
      </c>
      <c r="C24" s="36"/>
      <c r="D24" s="36"/>
      <c r="E24" s="36"/>
      <c r="F24" s="36"/>
      <c r="G24" s="36"/>
      <c r="H24" s="36"/>
      <c r="I24" s="36"/>
      <c r="J24" s="36"/>
      <c r="K24" s="36"/>
      <c r="L24" s="36"/>
      <c r="M24" s="36"/>
      <c r="N24" s="36"/>
      <c r="O24" s="41" t="s">
        <v>65</v>
      </c>
      <c r="P24" s="36"/>
      <c r="Q24" s="36"/>
      <c r="R24" s="36"/>
      <c r="S24" s="36"/>
      <c r="T24" s="37" t="s">
        <v>55</v>
      </c>
    </row>
    <row r="26" spans="2:26" x14ac:dyDescent="0.35">
      <c r="B26" s="4" t="s">
        <v>59</v>
      </c>
    </row>
    <row r="27" spans="2:26" x14ac:dyDescent="0.35">
      <c r="B27" s="91" t="s">
        <v>53</v>
      </c>
      <c r="C27" s="92" t="s">
        <v>50</v>
      </c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1" t="s">
        <v>53</v>
      </c>
      <c r="V27" t="s">
        <v>103</v>
      </c>
      <c r="W27" t="s">
        <v>56</v>
      </c>
      <c r="X27" t="s">
        <v>105</v>
      </c>
      <c r="Y27" t="s">
        <v>42</v>
      </c>
    </row>
    <row r="28" spans="2:26" x14ac:dyDescent="0.35">
      <c r="B28" s="91"/>
      <c r="C28" s="35">
        <v>9</v>
      </c>
      <c r="D28" s="35">
        <v>8</v>
      </c>
      <c r="E28" s="35">
        <v>7</v>
      </c>
      <c r="F28" s="35">
        <v>6</v>
      </c>
      <c r="G28" s="35">
        <v>5</v>
      </c>
      <c r="H28" s="35">
        <v>4</v>
      </c>
      <c r="I28" s="35">
        <v>3</v>
      </c>
      <c r="J28" s="35">
        <v>2</v>
      </c>
      <c r="K28" s="35">
        <v>1</v>
      </c>
      <c r="L28" s="35">
        <v>2</v>
      </c>
      <c r="M28" s="35">
        <v>3</v>
      </c>
      <c r="N28" s="35">
        <v>4</v>
      </c>
      <c r="O28" s="35">
        <v>5</v>
      </c>
      <c r="P28" s="35">
        <v>6</v>
      </c>
      <c r="Q28" s="35">
        <v>7</v>
      </c>
      <c r="R28" s="35">
        <v>8</v>
      </c>
      <c r="S28" s="35">
        <v>9</v>
      </c>
      <c r="T28" s="91"/>
      <c r="V28" t="s">
        <v>56</v>
      </c>
      <c r="W28">
        <v>1</v>
      </c>
      <c r="X28">
        <f>1/7</f>
        <v>0.14285714285714285</v>
      </c>
      <c r="Y28">
        <f>1/3</f>
        <v>0.33333333333333331</v>
      </c>
    </row>
    <row r="29" spans="2:26" ht="29" x14ac:dyDescent="0.35">
      <c r="B29" s="36" t="s">
        <v>56</v>
      </c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41" t="s">
        <v>65</v>
      </c>
      <c r="R29" s="36"/>
      <c r="S29" s="36"/>
      <c r="T29" s="37" t="s">
        <v>64</v>
      </c>
      <c r="V29" t="s">
        <v>105</v>
      </c>
      <c r="W29">
        <f>1/X28</f>
        <v>7</v>
      </c>
      <c r="X29">
        <v>1</v>
      </c>
      <c r="Y29">
        <v>3</v>
      </c>
    </row>
    <row r="30" spans="2:26" x14ac:dyDescent="0.35">
      <c r="B30" s="36" t="s">
        <v>56</v>
      </c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41" t="s">
        <v>65</v>
      </c>
      <c r="N30" s="36"/>
      <c r="O30" s="36"/>
      <c r="P30" s="36"/>
      <c r="Q30" s="42"/>
      <c r="R30" s="36"/>
      <c r="S30" s="36"/>
      <c r="T30" s="37" t="s">
        <v>42</v>
      </c>
      <c r="V30" t="s">
        <v>42</v>
      </c>
      <c r="W30">
        <f>1/Y28</f>
        <v>3</v>
      </c>
      <c r="X30">
        <f>1/Y29</f>
        <v>0.33333333333333331</v>
      </c>
      <c r="Y30">
        <v>1</v>
      </c>
    </row>
    <row r="31" spans="2:26" ht="29" x14ac:dyDescent="0.35">
      <c r="B31" s="37" t="s">
        <v>57</v>
      </c>
      <c r="C31" s="36"/>
      <c r="D31" s="36"/>
      <c r="E31" s="42"/>
      <c r="F31" s="36"/>
      <c r="G31" s="36"/>
      <c r="H31" s="36"/>
      <c r="I31" s="41" t="s">
        <v>65</v>
      </c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7" t="s">
        <v>42</v>
      </c>
    </row>
    <row r="33" spans="2:25" x14ac:dyDescent="0.35">
      <c r="B33" s="4" t="s">
        <v>60</v>
      </c>
    </row>
    <row r="34" spans="2:25" x14ac:dyDescent="0.35">
      <c r="B34" s="91" t="s">
        <v>53</v>
      </c>
      <c r="C34" s="92" t="s">
        <v>50</v>
      </c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1" t="s">
        <v>53</v>
      </c>
      <c r="V34" t="s">
        <v>103</v>
      </c>
      <c r="W34" t="s">
        <v>106</v>
      </c>
      <c r="X34" t="s">
        <v>29</v>
      </c>
      <c r="Y34" t="s">
        <v>107</v>
      </c>
    </row>
    <row r="35" spans="2:25" x14ac:dyDescent="0.35">
      <c r="B35" s="91"/>
      <c r="C35" s="35">
        <v>9</v>
      </c>
      <c r="D35" s="35">
        <v>8</v>
      </c>
      <c r="E35" s="35">
        <v>7</v>
      </c>
      <c r="F35" s="35">
        <v>6</v>
      </c>
      <c r="G35" s="35">
        <v>5</v>
      </c>
      <c r="H35" s="35">
        <v>4</v>
      </c>
      <c r="I35" s="35">
        <v>3</v>
      </c>
      <c r="J35" s="35">
        <v>2</v>
      </c>
      <c r="K35" s="35">
        <v>1</v>
      </c>
      <c r="L35" s="35">
        <v>2</v>
      </c>
      <c r="M35" s="35">
        <v>3</v>
      </c>
      <c r="N35" s="35">
        <v>4</v>
      </c>
      <c r="O35" s="35">
        <v>5</v>
      </c>
      <c r="P35" s="35">
        <v>6</v>
      </c>
      <c r="Q35" s="35">
        <v>7</v>
      </c>
      <c r="R35" s="35">
        <v>8</v>
      </c>
      <c r="S35" s="35">
        <v>9</v>
      </c>
      <c r="T35" s="91"/>
      <c r="V35" t="s">
        <v>106</v>
      </c>
      <c r="W35">
        <v>1</v>
      </c>
      <c r="X35">
        <v>7</v>
      </c>
      <c r="Y35">
        <v>5</v>
      </c>
    </row>
    <row r="36" spans="2:25" ht="29" x14ac:dyDescent="0.35">
      <c r="B36" s="37" t="s">
        <v>61</v>
      </c>
      <c r="C36" s="36"/>
      <c r="D36" s="36"/>
      <c r="E36" s="41" t="s">
        <v>65</v>
      </c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7" t="s">
        <v>72</v>
      </c>
      <c r="V36" t="s">
        <v>29</v>
      </c>
      <c r="W36">
        <f>1/X35</f>
        <v>0.14285714285714285</v>
      </c>
      <c r="X36">
        <v>1</v>
      </c>
      <c r="Y36">
        <v>5</v>
      </c>
    </row>
    <row r="37" spans="2:25" ht="29" x14ac:dyDescent="0.35">
      <c r="B37" s="37" t="s">
        <v>61</v>
      </c>
      <c r="C37" s="36"/>
      <c r="D37" s="36"/>
      <c r="E37" s="36"/>
      <c r="F37" s="36"/>
      <c r="G37" s="41" t="s">
        <v>65</v>
      </c>
      <c r="H37" s="36"/>
      <c r="I37" s="36"/>
      <c r="J37" s="36"/>
      <c r="K37" s="42"/>
      <c r="L37" s="36"/>
      <c r="M37" s="36"/>
      <c r="N37" s="36"/>
      <c r="O37" s="36"/>
      <c r="P37" s="36"/>
      <c r="Q37" s="36"/>
      <c r="R37" s="36"/>
      <c r="S37" s="36"/>
      <c r="T37" s="37" t="s">
        <v>43</v>
      </c>
      <c r="V37" t="s">
        <v>107</v>
      </c>
      <c r="W37">
        <f>1/Y35</f>
        <v>0.2</v>
      </c>
      <c r="X37">
        <f>1/Y36</f>
        <v>0.2</v>
      </c>
      <c r="Y37">
        <v>1</v>
      </c>
    </row>
    <row r="38" spans="2:25" ht="29" x14ac:dyDescent="0.35">
      <c r="B38" s="37" t="s">
        <v>72</v>
      </c>
      <c r="C38" s="36"/>
      <c r="D38" s="36"/>
      <c r="E38" s="36"/>
      <c r="F38" s="36"/>
      <c r="G38" s="41" t="s">
        <v>65</v>
      </c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7" t="s">
        <v>43</v>
      </c>
    </row>
    <row r="40" spans="2:25" x14ac:dyDescent="0.35">
      <c r="B40" s="4" t="s">
        <v>62</v>
      </c>
    </row>
    <row r="41" spans="2:25" x14ac:dyDescent="0.35">
      <c r="B41" s="91" t="s">
        <v>53</v>
      </c>
      <c r="C41" s="92" t="s">
        <v>50</v>
      </c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1" t="s">
        <v>53</v>
      </c>
      <c r="V41" t="s">
        <v>103</v>
      </c>
      <c r="W41" t="s">
        <v>30</v>
      </c>
      <c r="X41" t="s">
        <v>108</v>
      </c>
      <c r="Y41" t="s">
        <v>109</v>
      </c>
    </row>
    <row r="42" spans="2:25" x14ac:dyDescent="0.35">
      <c r="B42" s="91"/>
      <c r="C42" s="35">
        <v>9</v>
      </c>
      <c r="D42" s="35">
        <v>8</v>
      </c>
      <c r="E42" s="35">
        <v>7</v>
      </c>
      <c r="F42" s="35">
        <v>6</v>
      </c>
      <c r="G42" s="35">
        <v>5</v>
      </c>
      <c r="H42" s="35">
        <v>4</v>
      </c>
      <c r="I42" s="35">
        <v>3</v>
      </c>
      <c r="J42" s="35">
        <v>2</v>
      </c>
      <c r="K42" s="35">
        <v>1</v>
      </c>
      <c r="L42" s="35">
        <v>2</v>
      </c>
      <c r="M42" s="35">
        <v>3</v>
      </c>
      <c r="N42" s="35">
        <v>4</v>
      </c>
      <c r="O42" s="35">
        <v>5</v>
      </c>
      <c r="P42" s="35">
        <v>6</v>
      </c>
      <c r="Q42" s="35">
        <v>7</v>
      </c>
      <c r="R42" s="35">
        <v>8</v>
      </c>
      <c r="S42" s="35">
        <v>9</v>
      </c>
      <c r="T42" s="91"/>
      <c r="V42" t="s">
        <v>30</v>
      </c>
      <c r="W42">
        <v>1</v>
      </c>
      <c r="X42">
        <v>5</v>
      </c>
      <c r="Y42">
        <v>5</v>
      </c>
    </row>
    <row r="43" spans="2:25" x14ac:dyDescent="0.35">
      <c r="B43" s="37" t="s">
        <v>73</v>
      </c>
      <c r="C43" s="36"/>
      <c r="D43" s="36"/>
      <c r="E43" s="36"/>
      <c r="F43" s="36"/>
      <c r="G43" s="41" t="s">
        <v>65</v>
      </c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7" t="s">
        <v>74</v>
      </c>
      <c r="V43" t="s">
        <v>108</v>
      </c>
      <c r="W43">
        <f>1/X42</f>
        <v>0.2</v>
      </c>
      <c r="X43">
        <v>1</v>
      </c>
      <c r="Y43">
        <v>5</v>
      </c>
    </row>
    <row r="44" spans="2:25" ht="29" x14ac:dyDescent="0.35">
      <c r="B44" s="37" t="s">
        <v>73</v>
      </c>
      <c r="C44" s="36"/>
      <c r="D44" s="36"/>
      <c r="E44" s="36"/>
      <c r="F44" s="36"/>
      <c r="G44" s="41" t="s">
        <v>65</v>
      </c>
      <c r="H44" s="36"/>
      <c r="I44" s="36"/>
      <c r="J44" s="36"/>
      <c r="K44" s="36"/>
      <c r="L44" s="36"/>
      <c r="M44" s="36"/>
      <c r="N44" s="36"/>
      <c r="O44" s="36"/>
      <c r="P44" s="36"/>
      <c r="Q44" s="36"/>
      <c r="R44" s="36"/>
      <c r="S44" s="36"/>
      <c r="T44" s="37" t="s">
        <v>63</v>
      </c>
      <c r="V44" t="s">
        <v>109</v>
      </c>
      <c r="W44">
        <f>1/Y42</f>
        <v>0.2</v>
      </c>
      <c r="X44">
        <f>1/Y43</f>
        <v>0.2</v>
      </c>
      <c r="Y44">
        <v>1</v>
      </c>
    </row>
    <row r="45" spans="2:25" ht="29" x14ac:dyDescent="0.35">
      <c r="B45" s="37" t="s">
        <v>74</v>
      </c>
      <c r="C45" s="36"/>
      <c r="D45" s="36"/>
      <c r="E45" s="36"/>
      <c r="F45" s="36"/>
      <c r="G45" s="41" t="s">
        <v>65</v>
      </c>
      <c r="H45" s="36"/>
      <c r="I45" s="36"/>
      <c r="J45" s="36"/>
      <c r="K45" s="36"/>
      <c r="L45" s="36"/>
      <c r="M45" s="36"/>
      <c r="N45" s="36"/>
      <c r="O45" s="36"/>
      <c r="P45" s="36"/>
      <c r="Q45" s="36"/>
      <c r="R45" s="36"/>
      <c r="S45" s="36"/>
      <c r="T45" s="37" t="s">
        <v>63</v>
      </c>
    </row>
  </sheetData>
  <mergeCells count="15">
    <mergeCell ref="B7:B8"/>
    <mergeCell ref="C7:S7"/>
    <mergeCell ref="T7:T8"/>
    <mergeCell ref="B17:B18"/>
    <mergeCell ref="C17:S17"/>
    <mergeCell ref="T17:T18"/>
    <mergeCell ref="B41:B42"/>
    <mergeCell ref="C41:S41"/>
    <mergeCell ref="T41:T42"/>
    <mergeCell ref="B27:B28"/>
    <mergeCell ref="C27:S27"/>
    <mergeCell ref="T27:T28"/>
    <mergeCell ref="B34:B35"/>
    <mergeCell ref="C34:S34"/>
    <mergeCell ref="T34:T35"/>
  </mergeCells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BFFD4BA-5332-4FA8-BCF4-840389A1EFDB}">
  <dimension ref="B5:Z45"/>
  <sheetViews>
    <sheetView topLeftCell="C37" zoomScale="115" zoomScaleNormal="115" workbookViewId="0">
      <selection activeCell="V17" sqref="V17:Z21"/>
    </sheetView>
  </sheetViews>
  <sheetFormatPr defaultRowHeight="14.5" x14ac:dyDescent="0.35"/>
  <cols>
    <col min="2" max="2" width="24.26953125" customWidth="1"/>
    <col min="3" max="19" width="3.54296875" customWidth="1"/>
    <col min="20" max="20" width="24.26953125" customWidth="1"/>
  </cols>
  <sheetData>
    <row r="5" spans="2:26" x14ac:dyDescent="0.35"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</row>
    <row r="6" spans="2:26" x14ac:dyDescent="0.35">
      <c r="B6" s="4" t="s">
        <v>52</v>
      </c>
    </row>
    <row r="7" spans="2:26" x14ac:dyDescent="0.35">
      <c r="B7" s="91" t="s">
        <v>46</v>
      </c>
      <c r="C7" s="92" t="s">
        <v>50</v>
      </c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1" t="s">
        <v>46</v>
      </c>
      <c r="V7" t="s">
        <v>46</v>
      </c>
      <c r="W7" t="s">
        <v>82</v>
      </c>
      <c r="X7" t="s">
        <v>83</v>
      </c>
      <c r="Y7" t="s">
        <v>84</v>
      </c>
      <c r="Z7" t="s">
        <v>85</v>
      </c>
    </row>
    <row r="8" spans="2:26" x14ac:dyDescent="0.35">
      <c r="B8" s="91"/>
      <c r="C8" s="35">
        <v>9</v>
      </c>
      <c r="D8" s="35">
        <v>8</v>
      </c>
      <c r="E8" s="35">
        <v>7</v>
      </c>
      <c r="F8" s="35">
        <v>6</v>
      </c>
      <c r="G8" s="35">
        <v>5</v>
      </c>
      <c r="H8" s="35">
        <v>4</v>
      </c>
      <c r="I8" s="35">
        <v>3</v>
      </c>
      <c r="J8" s="35">
        <v>2</v>
      </c>
      <c r="K8" s="35">
        <v>1</v>
      </c>
      <c r="L8" s="35">
        <v>2</v>
      </c>
      <c r="M8" s="35">
        <v>3</v>
      </c>
      <c r="N8" s="35">
        <v>4</v>
      </c>
      <c r="O8" s="35">
        <v>5</v>
      </c>
      <c r="P8" s="35">
        <v>6</v>
      </c>
      <c r="Q8" s="35">
        <v>7</v>
      </c>
      <c r="R8" s="35">
        <v>8</v>
      </c>
      <c r="S8" s="35">
        <v>9</v>
      </c>
      <c r="T8" s="91"/>
      <c r="V8" t="s">
        <v>82</v>
      </c>
      <c r="W8">
        <v>1</v>
      </c>
      <c r="X8">
        <f>1/7</f>
        <v>0.14285714285714285</v>
      </c>
      <c r="Y8">
        <v>1</v>
      </c>
      <c r="Z8">
        <v>5</v>
      </c>
    </row>
    <row r="9" spans="2:26" x14ac:dyDescent="0.35">
      <c r="B9" s="36" t="s">
        <v>47</v>
      </c>
      <c r="C9" s="36"/>
      <c r="D9" s="36"/>
      <c r="E9" s="42"/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41" t="s">
        <v>65</v>
      </c>
      <c r="R9" s="36"/>
      <c r="S9" s="36"/>
      <c r="T9" s="36" t="s">
        <v>48</v>
      </c>
      <c r="V9" t="s">
        <v>83</v>
      </c>
      <c r="W9">
        <f>1/X8</f>
        <v>7</v>
      </c>
      <c r="X9">
        <v>1</v>
      </c>
      <c r="Y9">
        <f>1/3</f>
        <v>0.33333333333333331</v>
      </c>
      <c r="Z9">
        <v>1</v>
      </c>
    </row>
    <row r="10" spans="2:26" x14ac:dyDescent="0.35">
      <c r="B10" s="36" t="s">
        <v>47</v>
      </c>
      <c r="C10" s="36"/>
      <c r="D10" s="36"/>
      <c r="E10" s="42"/>
      <c r="F10" s="36"/>
      <c r="G10" s="41" t="s">
        <v>65</v>
      </c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 t="s">
        <v>49</v>
      </c>
      <c r="V10" t="s">
        <v>84</v>
      </c>
      <c r="W10">
        <f>1/Y8</f>
        <v>1</v>
      </c>
      <c r="X10">
        <f>1/Y9</f>
        <v>3</v>
      </c>
      <c r="Y10">
        <v>1</v>
      </c>
      <c r="Z10">
        <v>5</v>
      </c>
    </row>
    <row r="11" spans="2:26" x14ac:dyDescent="0.35">
      <c r="B11" s="36" t="s">
        <v>47</v>
      </c>
      <c r="C11" s="36"/>
      <c r="D11" s="36"/>
      <c r="E11" s="42"/>
      <c r="F11" s="36"/>
      <c r="G11" s="36"/>
      <c r="H11" s="36"/>
      <c r="I11" s="36"/>
      <c r="J11" s="36"/>
      <c r="K11" s="41" t="s">
        <v>65</v>
      </c>
      <c r="L11" s="36"/>
      <c r="M11" s="36"/>
      <c r="N11" s="36"/>
      <c r="O11" s="36"/>
      <c r="P11" s="36"/>
      <c r="Q11" s="36"/>
      <c r="R11" s="36"/>
      <c r="S11" s="36"/>
      <c r="T11" s="36" t="s">
        <v>51</v>
      </c>
      <c r="V11" t="s">
        <v>85</v>
      </c>
      <c r="W11">
        <f>1/Z8</f>
        <v>0.2</v>
      </c>
      <c r="X11">
        <f>1/Z9</f>
        <v>1</v>
      </c>
      <c r="Y11">
        <f>1/Z10</f>
        <v>0.2</v>
      </c>
      <c r="Z11">
        <v>1</v>
      </c>
    </row>
    <row r="12" spans="2:26" x14ac:dyDescent="0.35">
      <c r="B12" s="36" t="s">
        <v>48</v>
      </c>
      <c r="C12" s="36"/>
      <c r="D12" s="36"/>
      <c r="E12" s="36"/>
      <c r="F12" s="36"/>
      <c r="G12" s="36"/>
      <c r="H12" s="36"/>
      <c r="I12" s="36"/>
      <c r="J12" s="36"/>
      <c r="K12" s="41" t="s">
        <v>65</v>
      </c>
      <c r="L12" s="36"/>
      <c r="M12" s="36"/>
      <c r="N12" s="36"/>
      <c r="O12" s="36"/>
      <c r="P12" s="36"/>
      <c r="Q12" s="36"/>
      <c r="R12" s="36"/>
      <c r="S12" s="36"/>
      <c r="T12" s="36" t="s">
        <v>49</v>
      </c>
    </row>
    <row r="13" spans="2:26" x14ac:dyDescent="0.35">
      <c r="B13" s="36" t="s">
        <v>48</v>
      </c>
      <c r="C13" s="36"/>
      <c r="D13" s="36"/>
      <c r="E13" s="36"/>
      <c r="F13" s="36"/>
      <c r="G13" s="42"/>
      <c r="H13" s="36"/>
      <c r="I13" s="36"/>
      <c r="J13" s="36"/>
      <c r="K13" s="36"/>
      <c r="L13" s="36"/>
      <c r="M13" s="41" t="s">
        <v>65</v>
      </c>
      <c r="N13" s="36"/>
      <c r="O13" s="36"/>
      <c r="P13" s="36"/>
      <c r="Q13" s="36"/>
      <c r="R13" s="36"/>
      <c r="S13" s="36"/>
      <c r="T13" s="36" t="s">
        <v>51</v>
      </c>
    </row>
    <row r="14" spans="2:26" x14ac:dyDescent="0.35">
      <c r="B14" s="36" t="s">
        <v>49</v>
      </c>
      <c r="C14" s="36"/>
      <c r="D14" s="36"/>
      <c r="E14" s="36"/>
      <c r="F14" s="36"/>
      <c r="G14" s="41" t="s">
        <v>65</v>
      </c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 t="s">
        <v>51</v>
      </c>
    </row>
    <row r="16" spans="2:26" x14ac:dyDescent="0.35">
      <c r="B16" s="4" t="s">
        <v>58</v>
      </c>
    </row>
    <row r="17" spans="2:26" x14ac:dyDescent="0.35">
      <c r="B17" s="91" t="s">
        <v>53</v>
      </c>
      <c r="C17" s="92" t="s">
        <v>50</v>
      </c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1" t="s">
        <v>53</v>
      </c>
      <c r="V17" t="s">
        <v>103</v>
      </c>
      <c r="W17" t="s">
        <v>21</v>
      </c>
      <c r="X17" t="s">
        <v>22</v>
      </c>
      <c r="Y17" t="s">
        <v>104</v>
      </c>
      <c r="Z17" t="s">
        <v>20</v>
      </c>
    </row>
    <row r="18" spans="2:26" x14ac:dyDescent="0.35">
      <c r="B18" s="91"/>
      <c r="C18" s="35">
        <v>9</v>
      </c>
      <c r="D18" s="35">
        <v>8</v>
      </c>
      <c r="E18" s="35">
        <v>7</v>
      </c>
      <c r="F18" s="35">
        <v>6</v>
      </c>
      <c r="G18" s="35">
        <v>5</v>
      </c>
      <c r="H18" s="35">
        <v>4</v>
      </c>
      <c r="I18" s="35">
        <v>3</v>
      </c>
      <c r="J18" s="35">
        <v>2</v>
      </c>
      <c r="K18" s="35">
        <v>1</v>
      </c>
      <c r="L18" s="35">
        <v>2</v>
      </c>
      <c r="M18" s="35">
        <v>3</v>
      </c>
      <c r="N18" s="35">
        <v>4</v>
      </c>
      <c r="O18" s="35">
        <v>5</v>
      </c>
      <c r="P18" s="35">
        <v>6</v>
      </c>
      <c r="Q18" s="35">
        <v>7</v>
      </c>
      <c r="R18" s="35">
        <v>8</v>
      </c>
      <c r="S18" s="35">
        <v>9</v>
      </c>
      <c r="T18" s="91"/>
      <c r="V18" t="s">
        <v>21</v>
      </c>
      <c r="W18">
        <v>1</v>
      </c>
      <c r="X18">
        <v>7</v>
      </c>
      <c r="Y18">
        <v>5</v>
      </c>
      <c r="Z18">
        <v>5</v>
      </c>
    </row>
    <row r="19" spans="2:26" x14ac:dyDescent="0.35">
      <c r="B19" s="36" t="s">
        <v>21</v>
      </c>
      <c r="C19" s="36"/>
      <c r="D19" s="36"/>
      <c r="E19" s="41" t="s">
        <v>65</v>
      </c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42"/>
      <c r="T19" s="37" t="s">
        <v>22</v>
      </c>
      <c r="V19" t="s">
        <v>22</v>
      </c>
      <c r="W19">
        <f>1/X18</f>
        <v>0.14285714285714285</v>
      </c>
      <c r="X19">
        <v>1</v>
      </c>
      <c r="Y19">
        <v>1</v>
      </c>
      <c r="Z19">
        <f>1/3</f>
        <v>0.33333333333333331</v>
      </c>
    </row>
    <row r="20" spans="2:26" x14ac:dyDescent="0.35">
      <c r="B20" s="36" t="s">
        <v>21</v>
      </c>
      <c r="C20" s="36"/>
      <c r="D20" s="36"/>
      <c r="E20" s="36"/>
      <c r="F20" s="36"/>
      <c r="G20" s="41" t="s">
        <v>65</v>
      </c>
      <c r="H20" s="36"/>
      <c r="I20" s="36"/>
      <c r="J20" s="36"/>
      <c r="K20" s="42"/>
      <c r="L20" s="36"/>
      <c r="M20" s="36"/>
      <c r="N20" s="36"/>
      <c r="O20" s="36"/>
      <c r="P20" s="36"/>
      <c r="Q20" s="36"/>
      <c r="R20" s="36"/>
      <c r="S20" s="36"/>
      <c r="T20" s="37" t="s">
        <v>54</v>
      </c>
      <c r="V20" t="s">
        <v>104</v>
      </c>
      <c r="W20">
        <f>1/Y18</f>
        <v>0.2</v>
      </c>
      <c r="X20">
        <f>1/Y19</f>
        <v>1</v>
      </c>
      <c r="Y20">
        <v>1</v>
      </c>
      <c r="Z20">
        <v>3</v>
      </c>
    </row>
    <row r="21" spans="2:26" x14ac:dyDescent="0.35">
      <c r="B21" s="36" t="s">
        <v>21</v>
      </c>
      <c r="C21" s="36"/>
      <c r="D21" s="36"/>
      <c r="E21" s="42"/>
      <c r="F21" s="36"/>
      <c r="G21" s="41" t="s">
        <v>65</v>
      </c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7" t="s">
        <v>20</v>
      </c>
      <c r="V21" t="s">
        <v>20</v>
      </c>
      <c r="W21">
        <f>1/Z18</f>
        <v>0.2</v>
      </c>
      <c r="X21">
        <f>1/Z19</f>
        <v>3</v>
      </c>
      <c r="Y21">
        <f>1/Z20</f>
        <v>0.33333333333333331</v>
      </c>
      <c r="Z21">
        <v>1</v>
      </c>
    </row>
    <row r="22" spans="2:26" x14ac:dyDescent="0.35">
      <c r="B22" s="36" t="s">
        <v>22</v>
      </c>
      <c r="C22" s="36"/>
      <c r="D22" s="36"/>
      <c r="E22" s="36"/>
      <c r="F22" s="36"/>
      <c r="G22" s="42"/>
      <c r="H22" s="36"/>
      <c r="I22" s="36"/>
      <c r="J22" s="36"/>
      <c r="K22" s="41" t="s">
        <v>65</v>
      </c>
      <c r="L22" s="36"/>
      <c r="M22" s="36"/>
      <c r="N22" s="36"/>
      <c r="O22" s="36"/>
      <c r="P22" s="36"/>
      <c r="Q22" s="36"/>
      <c r="R22" s="36"/>
      <c r="S22" s="36"/>
      <c r="T22" s="37" t="s">
        <v>54</v>
      </c>
    </row>
    <row r="23" spans="2:26" ht="43.5" x14ac:dyDescent="0.35">
      <c r="B23" s="36" t="s">
        <v>22</v>
      </c>
      <c r="C23" s="36"/>
      <c r="D23" s="36"/>
      <c r="E23" s="42"/>
      <c r="F23" s="36"/>
      <c r="G23" s="36"/>
      <c r="H23" s="36"/>
      <c r="I23" s="36"/>
      <c r="J23" s="36"/>
      <c r="K23" s="36"/>
      <c r="L23" s="36"/>
      <c r="M23" s="41" t="s">
        <v>65</v>
      </c>
      <c r="N23" s="36"/>
      <c r="O23" s="36"/>
      <c r="P23" s="36"/>
      <c r="Q23" s="36"/>
      <c r="R23" s="36"/>
      <c r="S23" s="36"/>
      <c r="T23" s="37" t="s">
        <v>55</v>
      </c>
    </row>
    <row r="24" spans="2:26" ht="43.5" x14ac:dyDescent="0.35">
      <c r="B24" s="37" t="s">
        <v>54</v>
      </c>
      <c r="C24" s="36"/>
      <c r="D24" s="36"/>
      <c r="E24" s="42"/>
      <c r="F24" s="36"/>
      <c r="G24" s="36"/>
      <c r="H24" s="36"/>
      <c r="I24" s="41" t="s">
        <v>65</v>
      </c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7" t="s">
        <v>55</v>
      </c>
    </row>
    <row r="26" spans="2:26" x14ac:dyDescent="0.35">
      <c r="B26" s="4" t="s">
        <v>59</v>
      </c>
    </row>
    <row r="27" spans="2:26" x14ac:dyDescent="0.35">
      <c r="B27" s="91" t="s">
        <v>53</v>
      </c>
      <c r="C27" s="92" t="s">
        <v>50</v>
      </c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1" t="s">
        <v>53</v>
      </c>
      <c r="V27" t="s">
        <v>103</v>
      </c>
      <c r="W27" t="s">
        <v>56</v>
      </c>
      <c r="X27" t="s">
        <v>105</v>
      </c>
      <c r="Y27" t="s">
        <v>42</v>
      </c>
    </row>
    <row r="28" spans="2:26" x14ac:dyDescent="0.35">
      <c r="B28" s="91"/>
      <c r="C28" s="35">
        <v>9</v>
      </c>
      <c r="D28" s="35">
        <v>8</v>
      </c>
      <c r="E28" s="35">
        <v>7</v>
      </c>
      <c r="F28" s="35">
        <v>6</v>
      </c>
      <c r="G28" s="35">
        <v>5</v>
      </c>
      <c r="H28" s="35">
        <v>4</v>
      </c>
      <c r="I28" s="35">
        <v>3</v>
      </c>
      <c r="J28" s="35">
        <v>2</v>
      </c>
      <c r="K28" s="35">
        <v>1</v>
      </c>
      <c r="L28" s="35">
        <v>2</v>
      </c>
      <c r="M28" s="35">
        <v>3</v>
      </c>
      <c r="N28" s="35">
        <v>4</v>
      </c>
      <c r="O28" s="35">
        <v>5</v>
      </c>
      <c r="P28" s="35">
        <v>6</v>
      </c>
      <c r="Q28" s="35">
        <v>7</v>
      </c>
      <c r="R28" s="35">
        <v>8</v>
      </c>
      <c r="S28" s="35">
        <v>9</v>
      </c>
      <c r="T28" s="91"/>
      <c r="V28" t="s">
        <v>56</v>
      </c>
      <c r="W28">
        <v>1</v>
      </c>
      <c r="X28">
        <v>1</v>
      </c>
      <c r="Y28">
        <v>3</v>
      </c>
    </row>
    <row r="29" spans="2:26" ht="29" x14ac:dyDescent="0.35">
      <c r="B29" s="36" t="s">
        <v>56</v>
      </c>
      <c r="C29" s="36"/>
      <c r="D29" s="36"/>
      <c r="E29" s="36"/>
      <c r="F29" s="36"/>
      <c r="G29" s="36"/>
      <c r="H29" s="36"/>
      <c r="I29" s="36"/>
      <c r="J29" s="36"/>
      <c r="K29" s="41" t="s">
        <v>65</v>
      </c>
      <c r="L29" s="36"/>
      <c r="M29" s="36"/>
      <c r="N29" s="36"/>
      <c r="O29" s="36"/>
      <c r="P29" s="36"/>
      <c r="Q29" s="42"/>
      <c r="R29" s="36"/>
      <c r="S29" s="36"/>
      <c r="T29" s="37" t="s">
        <v>64</v>
      </c>
      <c r="V29" t="s">
        <v>105</v>
      </c>
      <c r="W29">
        <f>1/X28</f>
        <v>1</v>
      </c>
      <c r="X29">
        <v>1</v>
      </c>
      <c r="Y29">
        <v>1</v>
      </c>
    </row>
    <row r="30" spans="2:26" x14ac:dyDescent="0.35">
      <c r="B30" s="36" t="s">
        <v>56</v>
      </c>
      <c r="C30" s="36"/>
      <c r="D30" s="36"/>
      <c r="E30" s="36"/>
      <c r="F30" s="36"/>
      <c r="G30" s="36"/>
      <c r="H30" s="36"/>
      <c r="I30" s="41" t="s">
        <v>65</v>
      </c>
      <c r="J30" s="36"/>
      <c r="K30" s="36"/>
      <c r="L30" s="36"/>
      <c r="M30" s="36"/>
      <c r="N30" s="36"/>
      <c r="O30" s="36"/>
      <c r="P30" s="36"/>
      <c r="Q30" s="42"/>
      <c r="R30" s="36"/>
      <c r="S30" s="36"/>
      <c r="T30" s="37" t="s">
        <v>42</v>
      </c>
      <c r="V30" t="s">
        <v>42</v>
      </c>
      <c r="W30">
        <f>1/Y28</f>
        <v>0.33333333333333331</v>
      </c>
      <c r="X30">
        <f>1/Y29</f>
        <v>1</v>
      </c>
      <c r="Y30">
        <v>1</v>
      </c>
    </row>
    <row r="31" spans="2:26" ht="29" x14ac:dyDescent="0.35">
      <c r="B31" s="37" t="s">
        <v>57</v>
      </c>
      <c r="C31" s="36"/>
      <c r="D31" s="36"/>
      <c r="E31" s="42"/>
      <c r="F31" s="36"/>
      <c r="G31" s="36"/>
      <c r="H31" s="36"/>
      <c r="I31" s="36"/>
      <c r="J31" s="36"/>
      <c r="K31" s="41" t="s">
        <v>65</v>
      </c>
      <c r="L31" s="36"/>
      <c r="M31" s="36"/>
      <c r="N31" s="36"/>
      <c r="O31" s="36"/>
      <c r="P31" s="36"/>
      <c r="Q31" s="36"/>
      <c r="R31" s="36"/>
      <c r="S31" s="36"/>
      <c r="T31" s="37" t="s">
        <v>42</v>
      </c>
    </row>
    <row r="33" spans="2:25" x14ac:dyDescent="0.35">
      <c r="B33" s="4" t="s">
        <v>60</v>
      </c>
    </row>
    <row r="34" spans="2:25" x14ac:dyDescent="0.35">
      <c r="B34" s="91" t="s">
        <v>53</v>
      </c>
      <c r="C34" s="92" t="s">
        <v>50</v>
      </c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1" t="s">
        <v>53</v>
      </c>
      <c r="V34" t="s">
        <v>103</v>
      </c>
      <c r="W34" t="s">
        <v>106</v>
      </c>
      <c r="X34" t="s">
        <v>29</v>
      </c>
      <c r="Y34" t="s">
        <v>107</v>
      </c>
    </row>
    <row r="35" spans="2:25" x14ac:dyDescent="0.35">
      <c r="B35" s="91"/>
      <c r="C35" s="35">
        <v>9</v>
      </c>
      <c r="D35" s="35">
        <v>8</v>
      </c>
      <c r="E35" s="35">
        <v>7</v>
      </c>
      <c r="F35" s="35">
        <v>6</v>
      </c>
      <c r="G35" s="35">
        <v>5</v>
      </c>
      <c r="H35" s="35">
        <v>4</v>
      </c>
      <c r="I35" s="35">
        <v>3</v>
      </c>
      <c r="J35" s="35">
        <v>2</v>
      </c>
      <c r="K35" s="35">
        <v>1</v>
      </c>
      <c r="L35" s="35">
        <v>2</v>
      </c>
      <c r="M35" s="35">
        <v>3</v>
      </c>
      <c r="N35" s="35">
        <v>4</v>
      </c>
      <c r="O35" s="35">
        <v>5</v>
      </c>
      <c r="P35" s="35">
        <v>6</v>
      </c>
      <c r="Q35" s="35">
        <v>7</v>
      </c>
      <c r="R35" s="35">
        <v>8</v>
      </c>
      <c r="S35" s="35">
        <v>9</v>
      </c>
      <c r="T35" s="91"/>
      <c r="V35" t="s">
        <v>106</v>
      </c>
      <c r="W35">
        <v>1</v>
      </c>
      <c r="X35">
        <v>7</v>
      </c>
      <c r="Y35">
        <v>1</v>
      </c>
    </row>
    <row r="36" spans="2:25" ht="29" x14ac:dyDescent="0.35">
      <c r="B36" s="37" t="s">
        <v>61</v>
      </c>
      <c r="C36" s="36"/>
      <c r="D36" s="36"/>
      <c r="E36" s="41" t="s">
        <v>65</v>
      </c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7" t="s">
        <v>72</v>
      </c>
      <c r="V36" t="s">
        <v>29</v>
      </c>
      <c r="W36">
        <f>1/X35</f>
        <v>0.14285714285714285</v>
      </c>
      <c r="X36">
        <v>1</v>
      </c>
      <c r="Y36">
        <v>5</v>
      </c>
    </row>
    <row r="37" spans="2:25" ht="29" x14ac:dyDescent="0.35">
      <c r="B37" s="37" t="s">
        <v>61</v>
      </c>
      <c r="C37" s="36"/>
      <c r="D37" s="36"/>
      <c r="E37" s="36"/>
      <c r="F37" s="36"/>
      <c r="G37" s="36"/>
      <c r="H37" s="36"/>
      <c r="I37" s="36"/>
      <c r="J37" s="36"/>
      <c r="K37" s="41" t="s">
        <v>65</v>
      </c>
      <c r="L37" s="36"/>
      <c r="M37" s="36"/>
      <c r="N37" s="36"/>
      <c r="O37" s="36"/>
      <c r="P37" s="36"/>
      <c r="Q37" s="36"/>
      <c r="R37" s="36"/>
      <c r="S37" s="36"/>
      <c r="T37" s="37" t="s">
        <v>43</v>
      </c>
      <c r="V37" t="s">
        <v>107</v>
      </c>
      <c r="W37">
        <f>1/Y35</f>
        <v>1</v>
      </c>
      <c r="X37">
        <f>1/Y36</f>
        <v>0.2</v>
      </c>
      <c r="Y37">
        <v>1</v>
      </c>
    </row>
    <row r="38" spans="2:25" ht="29" x14ac:dyDescent="0.35">
      <c r="B38" s="37" t="s">
        <v>72</v>
      </c>
      <c r="C38" s="36"/>
      <c r="D38" s="36"/>
      <c r="E38" s="36"/>
      <c r="F38" s="36"/>
      <c r="G38" s="41" t="s">
        <v>65</v>
      </c>
      <c r="H38" s="36"/>
      <c r="I38" s="36"/>
      <c r="J38" s="36"/>
      <c r="K38" s="36"/>
      <c r="L38" s="36"/>
      <c r="M38" s="36"/>
      <c r="N38" s="36"/>
      <c r="O38" s="36"/>
      <c r="P38" s="36"/>
      <c r="Q38" s="36"/>
      <c r="R38" s="36"/>
      <c r="S38" s="36"/>
      <c r="T38" s="37" t="s">
        <v>43</v>
      </c>
    </row>
    <row r="40" spans="2:25" x14ac:dyDescent="0.35">
      <c r="B40" s="4" t="s">
        <v>62</v>
      </c>
    </row>
    <row r="41" spans="2:25" x14ac:dyDescent="0.35">
      <c r="B41" s="91" t="s">
        <v>53</v>
      </c>
      <c r="C41" s="92" t="s">
        <v>50</v>
      </c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1" t="s">
        <v>53</v>
      </c>
      <c r="V41" t="s">
        <v>103</v>
      </c>
      <c r="W41" t="s">
        <v>30</v>
      </c>
      <c r="X41" t="s">
        <v>108</v>
      </c>
      <c r="Y41" t="s">
        <v>109</v>
      </c>
    </row>
    <row r="42" spans="2:25" x14ac:dyDescent="0.35">
      <c r="B42" s="91"/>
      <c r="C42" s="35">
        <v>9</v>
      </c>
      <c r="D42" s="35">
        <v>8</v>
      </c>
      <c r="E42" s="35">
        <v>7</v>
      </c>
      <c r="F42" s="35">
        <v>6</v>
      </c>
      <c r="G42" s="35">
        <v>5</v>
      </c>
      <c r="H42" s="35">
        <v>4</v>
      </c>
      <c r="I42" s="35">
        <v>3</v>
      </c>
      <c r="J42" s="35">
        <v>2</v>
      </c>
      <c r="K42" s="35">
        <v>1</v>
      </c>
      <c r="L42" s="35">
        <v>2</v>
      </c>
      <c r="M42" s="35">
        <v>3</v>
      </c>
      <c r="N42" s="35">
        <v>4</v>
      </c>
      <c r="O42" s="35">
        <v>5</v>
      </c>
      <c r="P42" s="35">
        <v>6</v>
      </c>
      <c r="Q42" s="35">
        <v>7</v>
      </c>
      <c r="R42" s="35">
        <v>8</v>
      </c>
      <c r="S42" s="35">
        <v>9</v>
      </c>
      <c r="T42" s="91"/>
      <c r="V42" t="s">
        <v>30</v>
      </c>
      <c r="W42">
        <v>1</v>
      </c>
      <c r="X42">
        <v>9</v>
      </c>
      <c r="Y42">
        <v>1</v>
      </c>
    </row>
    <row r="43" spans="2:25" x14ac:dyDescent="0.35">
      <c r="B43" s="37" t="s">
        <v>73</v>
      </c>
      <c r="C43" s="41" t="s">
        <v>65</v>
      </c>
      <c r="D43" s="36"/>
      <c r="E43" s="36"/>
      <c r="F43" s="36"/>
      <c r="G43" s="36"/>
      <c r="H43" s="36"/>
      <c r="I43" s="36"/>
      <c r="J43" s="36"/>
      <c r="K43" s="36"/>
      <c r="L43" s="36"/>
      <c r="M43" s="36"/>
      <c r="N43" s="36"/>
      <c r="O43" s="36"/>
      <c r="P43" s="36"/>
      <c r="Q43" s="36"/>
      <c r="R43" s="36"/>
      <c r="S43" s="36"/>
      <c r="T43" s="37" t="s">
        <v>74</v>
      </c>
      <c r="V43" t="s">
        <v>108</v>
      </c>
      <c r="W43">
        <f>1/X42</f>
        <v>0.1111111111111111</v>
      </c>
      <c r="X43">
        <v>1</v>
      </c>
      <c r="Y43">
        <v>1</v>
      </c>
    </row>
    <row r="44" spans="2:25" ht="29" x14ac:dyDescent="0.35">
      <c r="B44" s="37" t="s">
        <v>73</v>
      </c>
      <c r="C44" s="36"/>
      <c r="D44" s="36"/>
      <c r="E44" s="36"/>
      <c r="F44" s="36"/>
      <c r="G44" s="36"/>
      <c r="H44" s="36"/>
      <c r="I44" s="36"/>
      <c r="J44" s="36"/>
      <c r="K44" s="41" t="s">
        <v>65</v>
      </c>
      <c r="L44" s="36"/>
      <c r="M44" s="36"/>
      <c r="N44" s="36"/>
      <c r="O44" s="36"/>
      <c r="P44" s="36"/>
      <c r="Q44" s="36"/>
      <c r="R44" s="36"/>
      <c r="S44" s="36"/>
      <c r="T44" s="37" t="s">
        <v>63</v>
      </c>
      <c r="V44" t="s">
        <v>109</v>
      </c>
      <c r="W44">
        <f>1/Y42</f>
        <v>1</v>
      </c>
      <c r="X44">
        <f>1/Y43</f>
        <v>1</v>
      </c>
      <c r="Y44">
        <v>1</v>
      </c>
    </row>
    <row r="45" spans="2:25" ht="29" x14ac:dyDescent="0.35">
      <c r="B45" s="37" t="s">
        <v>74</v>
      </c>
      <c r="C45" s="36"/>
      <c r="D45" s="36"/>
      <c r="E45" s="36"/>
      <c r="F45" s="36"/>
      <c r="G45" s="36"/>
      <c r="H45" s="36"/>
      <c r="I45" s="36"/>
      <c r="J45" s="36"/>
      <c r="K45" s="41" t="s">
        <v>65</v>
      </c>
      <c r="L45" s="36"/>
      <c r="M45" s="36"/>
      <c r="N45" s="36"/>
      <c r="O45" s="36"/>
      <c r="P45" s="36"/>
      <c r="Q45" s="36"/>
      <c r="R45" s="36"/>
      <c r="S45" s="36"/>
      <c r="T45" s="37" t="s">
        <v>63</v>
      </c>
    </row>
  </sheetData>
  <mergeCells count="15">
    <mergeCell ref="B7:B8"/>
    <mergeCell ref="C7:S7"/>
    <mergeCell ref="T7:T8"/>
    <mergeCell ref="B17:B18"/>
    <mergeCell ref="C17:S17"/>
    <mergeCell ref="T17:T18"/>
    <mergeCell ref="B41:B42"/>
    <mergeCell ref="C41:S41"/>
    <mergeCell ref="T41:T42"/>
    <mergeCell ref="B27:B28"/>
    <mergeCell ref="C27:S27"/>
    <mergeCell ref="T27:T28"/>
    <mergeCell ref="B34:B35"/>
    <mergeCell ref="C34:S34"/>
    <mergeCell ref="T34:T35"/>
  </mergeCells>
  <pageMargins left="0.7" right="0.7" top="0.75" bottom="0.75" header="0.3" footer="0.3"/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75078F4-D1A0-454B-A808-565CB75ABDD0}">
  <dimension ref="B5:Z45"/>
  <sheetViews>
    <sheetView topLeftCell="E32" zoomScale="115" zoomScaleNormal="115" workbookViewId="0">
      <selection activeCell="V27" sqref="V27:Y30"/>
    </sheetView>
  </sheetViews>
  <sheetFormatPr defaultRowHeight="14.5" x14ac:dyDescent="0.35"/>
  <cols>
    <col min="2" max="2" width="24.26953125" customWidth="1"/>
    <col min="3" max="19" width="3.54296875" customWidth="1"/>
    <col min="20" max="20" width="24.26953125" customWidth="1"/>
    <col min="22" max="22" width="10.1796875" bestFit="1" customWidth="1"/>
    <col min="25" max="25" width="10.1796875" bestFit="1" customWidth="1"/>
  </cols>
  <sheetData>
    <row r="5" spans="2:26" x14ac:dyDescent="0.35">
      <c r="B5" s="38"/>
      <c r="C5" s="38"/>
      <c r="D5" s="38"/>
      <c r="E5" s="38"/>
      <c r="F5" s="38"/>
      <c r="G5" s="38"/>
      <c r="H5" s="38"/>
      <c r="I5" s="38"/>
      <c r="J5" s="38"/>
      <c r="K5" s="38"/>
      <c r="L5" s="38"/>
      <c r="M5" s="38"/>
      <c r="N5" s="38"/>
      <c r="O5" s="38"/>
      <c r="P5" s="38"/>
      <c r="Q5" s="38"/>
      <c r="R5" s="38"/>
      <c r="S5" s="38"/>
      <c r="T5" s="38"/>
    </row>
    <row r="6" spans="2:26" x14ac:dyDescent="0.35">
      <c r="B6" s="4" t="s">
        <v>52</v>
      </c>
    </row>
    <row r="7" spans="2:26" x14ac:dyDescent="0.35">
      <c r="B7" s="91" t="s">
        <v>46</v>
      </c>
      <c r="C7" s="92" t="s">
        <v>50</v>
      </c>
      <c r="D7" s="92"/>
      <c r="E7" s="92"/>
      <c r="F7" s="92"/>
      <c r="G7" s="92"/>
      <c r="H7" s="92"/>
      <c r="I7" s="92"/>
      <c r="J7" s="92"/>
      <c r="K7" s="92"/>
      <c r="L7" s="92"/>
      <c r="M7" s="92"/>
      <c r="N7" s="92"/>
      <c r="O7" s="92"/>
      <c r="P7" s="92"/>
      <c r="Q7" s="92"/>
      <c r="R7" s="92"/>
      <c r="S7" s="92"/>
      <c r="T7" s="91" t="s">
        <v>46</v>
      </c>
      <c r="V7" t="s">
        <v>46</v>
      </c>
      <c r="W7" t="s">
        <v>82</v>
      </c>
      <c r="X7" t="s">
        <v>83</v>
      </c>
      <c r="Y7" t="s">
        <v>84</v>
      </c>
      <c r="Z7" t="s">
        <v>85</v>
      </c>
    </row>
    <row r="8" spans="2:26" x14ac:dyDescent="0.35">
      <c r="B8" s="91"/>
      <c r="C8" s="35">
        <v>9</v>
      </c>
      <c r="D8" s="35">
        <v>8</v>
      </c>
      <c r="E8" s="35">
        <v>7</v>
      </c>
      <c r="F8" s="35">
        <v>6</v>
      </c>
      <c r="G8" s="35">
        <v>5</v>
      </c>
      <c r="H8" s="35">
        <v>4</v>
      </c>
      <c r="I8" s="35">
        <v>3</v>
      </c>
      <c r="J8" s="35">
        <v>2</v>
      </c>
      <c r="K8" s="35">
        <v>1</v>
      </c>
      <c r="L8" s="35">
        <v>2</v>
      </c>
      <c r="M8" s="35">
        <v>3</v>
      </c>
      <c r="N8" s="35">
        <v>4</v>
      </c>
      <c r="O8" s="35">
        <v>5</v>
      </c>
      <c r="P8" s="35">
        <v>6</v>
      </c>
      <c r="Q8" s="35">
        <v>7</v>
      </c>
      <c r="R8" s="35">
        <v>8</v>
      </c>
      <c r="S8" s="35">
        <v>9</v>
      </c>
      <c r="T8" s="91"/>
      <c r="V8" t="s">
        <v>82</v>
      </c>
      <c r="W8">
        <v>1</v>
      </c>
      <c r="X8">
        <v>7</v>
      </c>
      <c r="Y8">
        <v>7</v>
      </c>
      <c r="Z8">
        <v>7</v>
      </c>
    </row>
    <row r="9" spans="2:26" x14ac:dyDescent="0.35">
      <c r="B9" s="36" t="s">
        <v>47</v>
      </c>
      <c r="C9" s="36"/>
      <c r="D9" s="36"/>
      <c r="E9" s="41" t="s">
        <v>65</v>
      </c>
      <c r="F9" s="36"/>
      <c r="G9" s="36"/>
      <c r="H9" s="36"/>
      <c r="I9" s="36"/>
      <c r="J9" s="36"/>
      <c r="K9" s="36"/>
      <c r="L9" s="36"/>
      <c r="M9" s="36"/>
      <c r="N9" s="36"/>
      <c r="O9" s="36"/>
      <c r="P9" s="36"/>
      <c r="Q9" s="36"/>
      <c r="R9" s="36"/>
      <c r="S9" s="36"/>
      <c r="T9" s="36" t="s">
        <v>48</v>
      </c>
      <c r="V9" t="s">
        <v>83</v>
      </c>
      <c r="W9">
        <f>1/X8</f>
        <v>0.14285714285714285</v>
      </c>
      <c r="X9">
        <v>1</v>
      </c>
      <c r="Y9">
        <v>5</v>
      </c>
      <c r="Z9">
        <v>1</v>
      </c>
    </row>
    <row r="10" spans="2:26" x14ac:dyDescent="0.35">
      <c r="B10" s="36" t="s">
        <v>47</v>
      </c>
      <c r="C10" s="36"/>
      <c r="D10" s="36"/>
      <c r="E10" s="41" t="s">
        <v>65</v>
      </c>
      <c r="F10" s="36"/>
      <c r="G10" s="36"/>
      <c r="H10" s="36"/>
      <c r="I10" s="36"/>
      <c r="J10" s="36"/>
      <c r="K10" s="36"/>
      <c r="L10" s="36"/>
      <c r="M10" s="36"/>
      <c r="N10" s="36"/>
      <c r="O10" s="36"/>
      <c r="P10" s="36"/>
      <c r="Q10" s="36"/>
      <c r="R10" s="36"/>
      <c r="S10" s="36"/>
      <c r="T10" s="36" t="s">
        <v>49</v>
      </c>
      <c r="V10" t="s">
        <v>84</v>
      </c>
      <c r="W10">
        <f>1/Y8</f>
        <v>0.14285714285714285</v>
      </c>
      <c r="X10">
        <f>1/Y9</f>
        <v>0.2</v>
      </c>
      <c r="Y10">
        <v>1</v>
      </c>
      <c r="Z10">
        <v>5</v>
      </c>
    </row>
    <row r="11" spans="2:26" x14ac:dyDescent="0.35">
      <c r="B11" s="36" t="s">
        <v>47</v>
      </c>
      <c r="C11" s="36"/>
      <c r="D11" s="36"/>
      <c r="E11" s="41" t="s">
        <v>65</v>
      </c>
      <c r="F11" s="36"/>
      <c r="G11" s="36"/>
      <c r="H11" s="36"/>
      <c r="I11" s="36"/>
      <c r="J11" s="36"/>
      <c r="K11" s="36"/>
      <c r="L11" s="36"/>
      <c r="M11" s="36"/>
      <c r="N11" s="36"/>
      <c r="O11" s="36"/>
      <c r="P11" s="36"/>
      <c r="Q11" s="36"/>
      <c r="R11" s="36"/>
      <c r="S11" s="36"/>
      <c r="T11" s="36" t="s">
        <v>51</v>
      </c>
      <c r="V11" t="s">
        <v>85</v>
      </c>
      <c r="W11">
        <f>1/Z8</f>
        <v>0.14285714285714285</v>
      </c>
      <c r="X11">
        <f>1/Z9</f>
        <v>1</v>
      </c>
      <c r="Y11">
        <f>1/Z10</f>
        <v>0.2</v>
      </c>
      <c r="Z11">
        <v>1</v>
      </c>
    </row>
    <row r="12" spans="2:26" x14ac:dyDescent="0.35">
      <c r="B12" s="36" t="s">
        <v>48</v>
      </c>
      <c r="C12" s="36"/>
      <c r="D12" s="36"/>
      <c r="E12" s="36"/>
      <c r="F12" s="36"/>
      <c r="G12" s="36"/>
      <c r="H12" s="36"/>
      <c r="I12" s="36"/>
      <c r="J12" s="36"/>
      <c r="K12" s="41" t="s">
        <v>65</v>
      </c>
      <c r="L12" s="36"/>
      <c r="M12" s="36"/>
      <c r="N12" s="36"/>
      <c r="O12" s="36"/>
      <c r="P12" s="36"/>
      <c r="Q12" s="36"/>
      <c r="R12" s="36"/>
      <c r="S12" s="36"/>
      <c r="T12" s="36" t="s">
        <v>49</v>
      </c>
    </row>
    <row r="13" spans="2:26" x14ac:dyDescent="0.35">
      <c r="B13" s="36" t="s">
        <v>48</v>
      </c>
      <c r="C13" s="36"/>
      <c r="D13" s="36"/>
      <c r="E13" s="36"/>
      <c r="F13" s="36"/>
      <c r="G13" s="41" t="s">
        <v>65</v>
      </c>
      <c r="H13" s="36"/>
      <c r="I13" s="36"/>
      <c r="J13" s="36"/>
      <c r="K13" s="36"/>
      <c r="L13" s="36"/>
      <c r="M13" s="36"/>
      <c r="N13" s="36"/>
      <c r="O13" s="36"/>
      <c r="P13" s="36"/>
      <c r="Q13" s="36"/>
      <c r="R13" s="36"/>
      <c r="S13" s="36"/>
      <c r="T13" s="36" t="s">
        <v>51</v>
      </c>
    </row>
    <row r="14" spans="2:26" x14ac:dyDescent="0.35">
      <c r="B14" s="36" t="s">
        <v>49</v>
      </c>
      <c r="C14" s="36"/>
      <c r="D14" s="36"/>
      <c r="E14" s="36"/>
      <c r="F14" s="36"/>
      <c r="G14" s="41" t="s">
        <v>65</v>
      </c>
      <c r="H14" s="36"/>
      <c r="I14" s="36"/>
      <c r="J14" s="36"/>
      <c r="K14" s="36"/>
      <c r="L14" s="36"/>
      <c r="M14" s="36"/>
      <c r="N14" s="36"/>
      <c r="O14" s="36"/>
      <c r="P14" s="36"/>
      <c r="Q14" s="36"/>
      <c r="R14" s="36"/>
      <c r="S14" s="36"/>
      <c r="T14" s="36" t="s">
        <v>51</v>
      </c>
    </row>
    <row r="16" spans="2:26" x14ac:dyDescent="0.35">
      <c r="B16" s="4" t="s">
        <v>58</v>
      </c>
    </row>
    <row r="17" spans="2:26" x14ac:dyDescent="0.35">
      <c r="B17" s="91" t="s">
        <v>53</v>
      </c>
      <c r="C17" s="92" t="s">
        <v>50</v>
      </c>
      <c r="D17" s="92"/>
      <c r="E17" s="92"/>
      <c r="F17" s="92"/>
      <c r="G17" s="92"/>
      <c r="H17" s="92"/>
      <c r="I17" s="92"/>
      <c r="J17" s="92"/>
      <c r="K17" s="92"/>
      <c r="L17" s="92"/>
      <c r="M17" s="92"/>
      <c r="N17" s="92"/>
      <c r="O17" s="92"/>
      <c r="P17" s="92"/>
      <c r="Q17" s="92"/>
      <c r="R17" s="92"/>
      <c r="S17" s="92"/>
      <c r="T17" s="91" t="s">
        <v>53</v>
      </c>
      <c r="V17" t="s">
        <v>103</v>
      </c>
      <c r="W17" t="s">
        <v>21</v>
      </c>
      <c r="X17" t="s">
        <v>22</v>
      </c>
      <c r="Y17" t="s">
        <v>104</v>
      </c>
      <c r="Z17" t="s">
        <v>20</v>
      </c>
    </row>
    <row r="18" spans="2:26" x14ac:dyDescent="0.35">
      <c r="B18" s="91"/>
      <c r="C18" s="35">
        <v>9</v>
      </c>
      <c r="D18" s="35">
        <v>8</v>
      </c>
      <c r="E18" s="35">
        <v>7</v>
      </c>
      <c r="F18" s="35">
        <v>6</v>
      </c>
      <c r="G18" s="35">
        <v>5</v>
      </c>
      <c r="H18" s="35">
        <v>4</v>
      </c>
      <c r="I18" s="35">
        <v>3</v>
      </c>
      <c r="J18" s="35">
        <v>2</v>
      </c>
      <c r="K18" s="35">
        <v>1</v>
      </c>
      <c r="L18" s="35">
        <v>2</v>
      </c>
      <c r="M18" s="35">
        <v>3</v>
      </c>
      <c r="N18" s="35">
        <v>4</v>
      </c>
      <c r="O18" s="35">
        <v>5</v>
      </c>
      <c r="P18" s="35">
        <v>6</v>
      </c>
      <c r="Q18" s="35">
        <v>7</v>
      </c>
      <c r="R18" s="35">
        <v>8</v>
      </c>
      <c r="S18" s="35">
        <v>9</v>
      </c>
      <c r="T18" s="91"/>
      <c r="V18" t="s">
        <v>21</v>
      </c>
      <c r="W18">
        <v>1</v>
      </c>
      <c r="X18">
        <f>1/9</f>
        <v>0.1111111111111111</v>
      </c>
      <c r="Y18">
        <v>1</v>
      </c>
      <c r="Z18">
        <v>7</v>
      </c>
    </row>
    <row r="19" spans="2:26" x14ac:dyDescent="0.35">
      <c r="B19" s="36" t="s">
        <v>21</v>
      </c>
      <c r="C19" s="36"/>
      <c r="D19" s="36"/>
      <c r="E19" s="36"/>
      <c r="F19" s="36"/>
      <c r="G19" s="36"/>
      <c r="H19" s="36"/>
      <c r="I19" s="36"/>
      <c r="J19" s="36"/>
      <c r="K19" s="36"/>
      <c r="L19" s="36"/>
      <c r="M19" s="36"/>
      <c r="N19" s="36"/>
      <c r="O19" s="36"/>
      <c r="P19" s="36"/>
      <c r="Q19" s="36"/>
      <c r="R19" s="36"/>
      <c r="S19" s="41" t="s">
        <v>65</v>
      </c>
      <c r="T19" s="37" t="s">
        <v>22</v>
      </c>
      <c r="V19" t="s">
        <v>22</v>
      </c>
      <c r="W19">
        <f>1/X18</f>
        <v>9</v>
      </c>
      <c r="X19">
        <v>1</v>
      </c>
      <c r="Y19">
        <v>5</v>
      </c>
      <c r="Z19">
        <v>7</v>
      </c>
    </row>
    <row r="20" spans="2:26" x14ac:dyDescent="0.35">
      <c r="B20" s="36" t="s">
        <v>21</v>
      </c>
      <c r="C20" s="36"/>
      <c r="D20" s="36"/>
      <c r="E20" s="36"/>
      <c r="F20" s="36"/>
      <c r="G20" s="36"/>
      <c r="H20" s="36"/>
      <c r="I20" s="36"/>
      <c r="J20" s="36"/>
      <c r="K20" s="41" t="s">
        <v>65</v>
      </c>
      <c r="L20" s="36"/>
      <c r="M20" s="36"/>
      <c r="N20" s="36"/>
      <c r="O20" s="36"/>
      <c r="P20" s="36"/>
      <c r="Q20" s="36"/>
      <c r="R20" s="36"/>
      <c r="S20" s="36"/>
      <c r="T20" s="37" t="s">
        <v>54</v>
      </c>
      <c r="V20" t="s">
        <v>104</v>
      </c>
      <c r="W20">
        <f>1/Y18</f>
        <v>1</v>
      </c>
      <c r="X20">
        <f>1/Y19</f>
        <v>0.2</v>
      </c>
      <c r="Y20">
        <v>1</v>
      </c>
      <c r="Z20">
        <v>7</v>
      </c>
    </row>
    <row r="21" spans="2:26" x14ac:dyDescent="0.35">
      <c r="B21" s="36" t="s">
        <v>21</v>
      </c>
      <c r="C21" s="36"/>
      <c r="D21" s="36"/>
      <c r="E21" s="41" t="s">
        <v>65</v>
      </c>
      <c r="F21" s="36"/>
      <c r="G21" s="36"/>
      <c r="H21" s="36"/>
      <c r="I21" s="36"/>
      <c r="J21" s="36"/>
      <c r="K21" s="36"/>
      <c r="L21" s="36"/>
      <c r="M21" s="36"/>
      <c r="N21" s="36"/>
      <c r="O21" s="36"/>
      <c r="P21" s="36"/>
      <c r="Q21" s="36"/>
      <c r="R21" s="36"/>
      <c r="S21" s="36"/>
      <c r="T21" s="37" t="s">
        <v>20</v>
      </c>
      <c r="V21" t="s">
        <v>20</v>
      </c>
      <c r="W21">
        <f>1/Z18</f>
        <v>0.14285714285714285</v>
      </c>
      <c r="X21">
        <f>1/Z19</f>
        <v>0.14285714285714285</v>
      </c>
      <c r="Y21">
        <f>1/Z20</f>
        <v>0.14285714285714285</v>
      </c>
      <c r="Z21">
        <v>1</v>
      </c>
    </row>
    <row r="22" spans="2:26" x14ac:dyDescent="0.35">
      <c r="B22" s="36" t="s">
        <v>22</v>
      </c>
      <c r="C22" s="36"/>
      <c r="D22" s="36"/>
      <c r="E22" s="36"/>
      <c r="F22" s="36"/>
      <c r="G22" s="41" t="s">
        <v>65</v>
      </c>
      <c r="H22" s="36"/>
      <c r="I22" s="36"/>
      <c r="J22" s="36"/>
      <c r="K22" s="36"/>
      <c r="L22" s="36"/>
      <c r="M22" s="36"/>
      <c r="N22" s="36"/>
      <c r="O22" s="36"/>
      <c r="P22" s="36"/>
      <c r="Q22" s="36"/>
      <c r="R22" s="36"/>
      <c r="S22" s="36"/>
      <c r="T22" s="37" t="s">
        <v>54</v>
      </c>
    </row>
    <row r="23" spans="2:26" ht="43.5" x14ac:dyDescent="0.35">
      <c r="B23" s="36" t="s">
        <v>22</v>
      </c>
      <c r="C23" s="36"/>
      <c r="D23" s="36"/>
      <c r="E23" s="41" t="s">
        <v>65</v>
      </c>
      <c r="F23" s="36"/>
      <c r="G23" s="36"/>
      <c r="H23" s="36"/>
      <c r="I23" s="36"/>
      <c r="J23" s="36"/>
      <c r="K23" s="36"/>
      <c r="L23" s="36"/>
      <c r="M23" s="36"/>
      <c r="N23" s="36"/>
      <c r="O23" s="36"/>
      <c r="P23" s="36"/>
      <c r="Q23" s="36"/>
      <c r="R23" s="36"/>
      <c r="S23" s="36"/>
      <c r="T23" s="37" t="s">
        <v>55</v>
      </c>
    </row>
    <row r="24" spans="2:26" ht="43.5" x14ac:dyDescent="0.35">
      <c r="B24" s="37" t="s">
        <v>54</v>
      </c>
      <c r="C24" s="36"/>
      <c r="D24" s="36"/>
      <c r="E24" s="41" t="s">
        <v>65</v>
      </c>
      <c r="F24" s="36"/>
      <c r="G24" s="36"/>
      <c r="H24" s="36"/>
      <c r="I24" s="36"/>
      <c r="J24" s="36"/>
      <c r="K24" s="36"/>
      <c r="L24" s="36"/>
      <c r="M24" s="36"/>
      <c r="N24" s="36"/>
      <c r="O24" s="36"/>
      <c r="P24" s="36"/>
      <c r="Q24" s="36"/>
      <c r="R24" s="36"/>
      <c r="S24" s="36"/>
      <c r="T24" s="37" t="s">
        <v>55</v>
      </c>
    </row>
    <row r="26" spans="2:26" x14ac:dyDescent="0.35">
      <c r="B26" s="4" t="s">
        <v>59</v>
      </c>
    </row>
    <row r="27" spans="2:26" x14ac:dyDescent="0.35">
      <c r="B27" s="91" t="s">
        <v>53</v>
      </c>
      <c r="C27" s="92" t="s">
        <v>50</v>
      </c>
      <c r="D27" s="92"/>
      <c r="E27" s="92"/>
      <c r="F27" s="92"/>
      <c r="G27" s="92"/>
      <c r="H27" s="92"/>
      <c r="I27" s="92"/>
      <c r="J27" s="92"/>
      <c r="K27" s="92"/>
      <c r="L27" s="92"/>
      <c r="M27" s="92"/>
      <c r="N27" s="92"/>
      <c r="O27" s="92"/>
      <c r="P27" s="92"/>
      <c r="Q27" s="92"/>
      <c r="R27" s="92"/>
      <c r="S27" s="92"/>
      <c r="T27" s="91" t="s">
        <v>53</v>
      </c>
      <c r="V27" t="s">
        <v>103</v>
      </c>
      <c r="W27" t="s">
        <v>56</v>
      </c>
      <c r="X27" t="s">
        <v>105</v>
      </c>
      <c r="Y27" t="s">
        <v>42</v>
      </c>
    </row>
    <row r="28" spans="2:26" x14ac:dyDescent="0.35">
      <c r="B28" s="91"/>
      <c r="C28" s="35">
        <v>9</v>
      </c>
      <c r="D28" s="35">
        <v>8</v>
      </c>
      <c r="E28" s="35">
        <v>7</v>
      </c>
      <c r="F28" s="35">
        <v>6</v>
      </c>
      <c r="G28" s="35">
        <v>5</v>
      </c>
      <c r="H28" s="35">
        <v>4</v>
      </c>
      <c r="I28" s="35">
        <v>3</v>
      </c>
      <c r="J28" s="35">
        <v>2</v>
      </c>
      <c r="K28" s="35">
        <v>1</v>
      </c>
      <c r="L28" s="35">
        <v>2</v>
      </c>
      <c r="M28" s="35">
        <v>3</v>
      </c>
      <c r="N28" s="35">
        <v>4</v>
      </c>
      <c r="O28" s="35">
        <v>5</v>
      </c>
      <c r="P28" s="35">
        <v>6</v>
      </c>
      <c r="Q28" s="35">
        <v>7</v>
      </c>
      <c r="R28" s="35">
        <v>8</v>
      </c>
      <c r="S28" s="35">
        <v>9</v>
      </c>
      <c r="T28" s="91"/>
      <c r="V28" t="s">
        <v>56</v>
      </c>
      <c r="W28">
        <v>1</v>
      </c>
      <c r="X28">
        <f>1/7</f>
        <v>0.14285714285714285</v>
      </c>
      <c r="Y28">
        <f>1/7</f>
        <v>0.14285714285714285</v>
      </c>
    </row>
    <row r="29" spans="2:26" ht="29" x14ac:dyDescent="0.35">
      <c r="B29" s="36" t="s">
        <v>56</v>
      </c>
      <c r="C29" s="36"/>
      <c r="D29" s="36"/>
      <c r="E29" s="36"/>
      <c r="F29" s="36"/>
      <c r="G29" s="36"/>
      <c r="H29" s="36"/>
      <c r="I29" s="36"/>
      <c r="J29" s="36"/>
      <c r="K29" s="36"/>
      <c r="L29" s="36"/>
      <c r="M29" s="36"/>
      <c r="N29" s="36"/>
      <c r="O29" s="36"/>
      <c r="P29" s="36"/>
      <c r="Q29" s="41" t="s">
        <v>65</v>
      </c>
      <c r="R29" s="36"/>
      <c r="S29" s="36"/>
      <c r="T29" s="37" t="s">
        <v>64</v>
      </c>
      <c r="V29" t="s">
        <v>105</v>
      </c>
      <c r="W29">
        <f>1/X28</f>
        <v>7</v>
      </c>
      <c r="X29">
        <v>1</v>
      </c>
      <c r="Y29">
        <v>7</v>
      </c>
    </row>
    <row r="30" spans="2:26" x14ac:dyDescent="0.35">
      <c r="B30" s="36" t="s">
        <v>56</v>
      </c>
      <c r="C30" s="36"/>
      <c r="D30" s="36"/>
      <c r="E30" s="36"/>
      <c r="F30" s="36"/>
      <c r="G30" s="36"/>
      <c r="H30" s="36"/>
      <c r="I30" s="36"/>
      <c r="J30" s="36"/>
      <c r="K30" s="36"/>
      <c r="L30" s="36"/>
      <c r="M30" s="36"/>
      <c r="N30" s="36"/>
      <c r="O30" s="36"/>
      <c r="P30" s="36"/>
      <c r="Q30" s="41" t="s">
        <v>65</v>
      </c>
      <c r="R30" s="36"/>
      <c r="S30" s="36"/>
      <c r="T30" s="37" t="s">
        <v>42</v>
      </c>
      <c r="V30" t="s">
        <v>42</v>
      </c>
      <c r="W30">
        <f>1/Y28</f>
        <v>7</v>
      </c>
      <c r="X30">
        <f>1/Y29</f>
        <v>0.14285714285714285</v>
      </c>
      <c r="Y30">
        <v>1</v>
      </c>
    </row>
    <row r="31" spans="2:26" ht="29" x14ac:dyDescent="0.35">
      <c r="B31" s="37" t="s">
        <v>57</v>
      </c>
      <c r="C31" s="36"/>
      <c r="D31" s="36"/>
      <c r="E31" s="41" t="s">
        <v>65</v>
      </c>
      <c r="F31" s="36"/>
      <c r="G31" s="36"/>
      <c r="H31" s="36"/>
      <c r="I31" s="36"/>
      <c r="J31" s="36"/>
      <c r="K31" s="36"/>
      <c r="L31" s="36"/>
      <c r="M31" s="36"/>
      <c r="N31" s="36"/>
      <c r="O31" s="36"/>
      <c r="P31" s="36"/>
      <c r="Q31" s="36"/>
      <c r="R31" s="36"/>
      <c r="S31" s="36"/>
      <c r="T31" s="37" t="s">
        <v>42</v>
      </c>
    </row>
    <row r="33" spans="2:25" x14ac:dyDescent="0.35">
      <c r="B33" s="4" t="s">
        <v>60</v>
      </c>
    </row>
    <row r="34" spans="2:25" x14ac:dyDescent="0.35">
      <c r="B34" s="91" t="s">
        <v>53</v>
      </c>
      <c r="C34" s="92" t="s">
        <v>50</v>
      </c>
      <c r="D34" s="92"/>
      <c r="E34" s="92"/>
      <c r="F34" s="92"/>
      <c r="G34" s="92"/>
      <c r="H34" s="92"/>
      <c r="I34" s="92"/>
      <c r="J34" s="92"/>
      <c r="K34" s="92"/>
      <c r="L34" s="92"/>
      <c r="M34" s="92"/>
      <c r="N34" s="92"/>
      <c r="O34" s="92"/>
      <c r="P34" s="92"/>
      <c r="Q34" s="92"/>
      <c r="R34" s="92"/>
      <c r="S34" s="92"/>
      <c r="T34" s="91" t="s">
        <v>53</v>
      </c>
      <c r="V34" t="s">
        <v>103</v>
      </c>
      <c r="W34" t="s">
        <v>106</v>
      </c>
      <c r="X34" t="s">
        <v>29</v>
      </c>
      <c r="Y34" t="s">
        <v>107</v>
      </c>
    </row>
    <row r="35" spans="2:25" x14ac:dyDescent="0.35">
      <c r="B35" s="91"/>
      <c r="C35" s="35">
        <v>9</v>
      </c>
      <c r="D35" s="35">
        <v>8</v>
      </c>
      <c r="E35" s="35">
        <v>7</v>
      </c>
      <c r="F35" s="35">
        <v>6</v>
      </c>
      <c r="G35" s="35">
        <v>5</v>
      </c>
      <c r="H35" s="35">
        <v>4</v>
      </c>
      <c r="I35" s="35">
        <v>3</v>
      </c>
      <c r="J35" s="35">
        <v>2</v>
      </c>
      <c r="K35" s="35">
        <v>1</v>
      </c>
      <c r="L35" s="35">
        <v>2</v>
      </c>
      <c r="M35" s="35">
        <v>3</v>
      </c>
      <c r="N35" s="35">
        <v>4</v>
      </c>
      <c r="O35" s="35">
        <v>5</v>
      </c>
      <c r="P35" s="35">
        <v>6</v>
      </c>
      <c r="Q35" s="35">
        <v>7</v>
      </c>
      <c r="R35" s="35">
        <v>8</v>
      </c>
      <c r="S35" s="35">
        <v>9</v>
      </c>
      <c r="T35" s="91"/>
      <c r="V35" t="s">
        <v>106</v>
      </c>
      <c r="W35">
        <v>1</v>
      </c>
      <c r="X35">
        <v>7</v>
      </c>
      <c r="Y35">
        <v>7</v>
      </c>
    </row>
    <row r="36" spans="2:25" ht="29" x14ac:dyDescent="0.35">
      <c r="B36" s="37" t="s">
        <v>61</v>
      </c>
      <c r="C36" s="36"/>
      <c r="D36" s="36"/>
      <c r="E36" s="41" t="s">
        <v>65</v>
      </c>
      <c r="F36" s="36"/>
      <c r="G36" s="36"/>
      <c r="H36" s="36"/>
      <c r="I36" s="36"/>
      <c r="J36" s="36"/>
      <c r="K36" s="36"/>
      <c r="L36" s="36"/>
      <c r="M36" s="36"/>
      <c r="N36" s="36"/>
      <c r="O36" s="36"/>
      <c r="P36" s="36"/>
      <c r="Q36" s="36"/>
      <c r="R36" s="36"/>
      <c r="S36" s="36"/>
      <c r="T36" s="37" t="s">
        <v>72</v>
      </c>
      <c r="V36" t="s">
        <v>29</v>
      </c>
      <c r="W36">
        <f>1/X35</f>
        <v>0.14285714285714285</v>
      </c>
      <c r="X36">
        <v>1</v>
      </c>
      <c r="Y36">
        <v>1</v>
      </c>
    </row>
    <row r="37" spans="2:25" ht="29" x14ac:dyDescent="0.35">
      <c r="B37" s="37" t="s">
        <v>61</v>
      </c>
      <c r="C37" s="36"/>
      <c r="D37" s="36"/>
      <c r="E37" s="41" t="s">
        <v>65</v>
      </c>
      <c r="F37" s="36"/>
      <c r="G37" s="36"/>
      <c r="H37" s="36"/>
      <c r="I37" s="36"/>
      <c r="J37" s="36"/>
      <c r="K37" s="36"/>
      <c r="L37" s="36"/>
      <c r="M37" s="36"/>
      <c r="N37" s="36"/>
      <c r="O37" s="36"/>
      <c r="P37" s="36"/>
      <c r="Q37" s="36"/>
      <c r="R37" s="36"/>
      <c r="S37" s="36"/>
      <c r="T37" s="37" t="s">
        <v>43</v>
      </c>
      <c r="V37" t="s">
        <v>107</v>
      </c>
      <c r="W37">
        <f>1/Y35</f>
        <v>0.14285714285714285</v>
      </c>
      <c r="X37">
        <f>1/Y36</f>
        <v>1</v>
      </c>
      <c r="Y37">
        <v>1</v>
      </c>
    </row>
    <row r="38" spans="2:25" ht="29" x14ac:dyDescent="0.35">
      <c r="B38" s="37" t="s">
        <v>72</v>
      </c>
      <c r="C38" s="36"/>
      <c r="D38" s="36"/>
      <c r="E38" s="36"/>
      <c r="F38" s="36"/>
      <c r="G38" s="36"/>
      <c r="H38" s="36"/>
      <c r="I38" s="36"/>
      <c r="J38" s="36"/>
      <c r="K38" s="41" t="s">
        <v>65</v>
      </c>
      <c r="L38" s="36"/>
      <c r="M38" s="36"/>
      <c r="N38" s="36"/>
      <c r="O38" s="36"/>
      <c r="P38" s="36"/>
      <c r="Q38" s="36"/>
      <c r="R38" s="36"/>
      <c r="S38" s="36"/>
      <c r="T38" s="37" t="s">
        <v>43</v>
      </c>
    </row>
    <row r="40" spans="2:25" x14ac:dyDescent="0.35">
      <c r="B40" s="4" t="s">
        <v>62</v>
      </c>
    </row>
    <row r="41" spans="2:25" x14ac:dyDescent="0.35">
      <c r="B41" s="91" t="s">
        <v>53</v>
      </c>
      <c r="C41" s="92" t="s">
        <v>50</v>
      </c>
      <c r="D41" s="92"/>
      <c r="E41" s="92"/>
      <c r="F41" s="92"/>
      <c r="G41" s="92"/>
      <c r="H41" s="92"/>
      <c r="I41" s="92"/>
      <c r="J41" s="92"/>
      <c r="K41" s="92"/>
      <c r="L41" s="92"/>
      <c r="M41" s="92"/>
      <c r="N41" s="92"/>
      <c r="O41" s="92"/>
      <c r="P41" s="92"/>
      <c r="Q41" s="92"/>
      <c r="R41" s="92"/>
      <c r="S41" s="92"/>
      <c r="T41" s="91" t="s">
        <v>53</v>
      </c>
      <c r="V41" t="s">
        <v>103</v>
      </c>
      <c r="W41" t="s">
        <v>30</v>
      </c>
      <c r="X41" t="s">
        <v>108</v>
      </c>
      <c r="Y41" t="s">
        <v>109</v>
      </c>
    </row>
    <row r="42" spans="2:25" x14ac:dyDescent="0.35">
      <c r="B42" s="91"/>
      <c r="C42" s="35">
        <v>9</v>
      </c>
      <c r="D42" s="35">
        <v>8</v>
      </c>
      <c r="E42" s="35">
        <v>7</v>
      </c>
      <c r="F42" s="35">
        <v>6</v>
      </c>
      <c r="G42" s="35">
        <v>5</v>
      </c>
      <c r="H42" s="35">
        <v>4</v>
      </c>
      <c r="I42" s="35">
        <v>3</v>
      </c>
      <c r="J42" s="35">
        <v>2</v>
      </c>
      <c r="K42" s="35">
        <v>1</v>
      </c>
      <c r="L42" s="35">
        <v>2</v>
      </c>
      <c r="M42" s="35">
        <v>3</v>
      </c>
      <c r="N42" s="35">
        <v>4</v>
      </c>
      <c r="O42" s="35">
        <v>5</v>
      </c>
      <c r="P42" s="35">
        <v>6</v>
      </c>
      <c r="Q42" s="35">
        <v>7</v>
      </c>
      <c r="R42" s="35">
        <v>8</v>
      </c>
      <c r="S42" s="35">
        <v>9</v>
      </c>
      <c r="T42" s="91"/>
      <c r="V42" t="s">
        <v>30</v>
      </c>
      <c r="W42">
        <v>1</v>
      </c>
      <c r="X42">
        <v>1</v>
      </c>
      <c r="Y42">
        <v>1</v>
      </c>
    </row>
    <row r="43" spans="2:25" x14ac:dyDescent="0.35">
      <c r="B43" s="37" t="s">
        <v>73</v>
      </c>
      <c r="C43" s="36"/>
      <c r="D43" s="36"/>
      <c r="E43" s="36"/>
      <c r="F43" s="36"/>
      <c r="G43" s="36"/>
      <c r="H43" s="36"/>
      <c r="I43" s="36"/>
      <c r="J43" s="36"/>
      <c r="K43" s="41" t="s">
        <v>65</v>
      </c>
      <c r="L43" s="36"/>
      <c r="M43" s="36"/>
      <c r="N43" s="36"/>
      <c r="O43" s="36"/>
      <c r="P43" s="36"/>
      <c r="Q43" s="36"/>
      <c r="R43" s="36"/>
      <c r="S43" s="36"/>
      <c r="T43" s="37" t="s">
        <v>74</v>
      </c>
      <c r="V43" t="s">
        <v>108</v>
      </c>
      <c r="W43">
        <f>1/X42</f>
        <v>1</v>
      </c>
      <c r="X43">
        <v>1</v>
      </c>
      <c r="Y43">
        <v>1</v>
      </c>
    </row>
    <row r="44" spans="2:25" ht="29" x14ac:dyDescent="0.35">
      <c r="B44" s="37" t="s">
        <v>73</v>
      </c>
      <c r="C44" s="36"/>
      <c r="D44" s="36"/>
      <c r="E44" s="36"/>
      <c r="F44" s="36"/>
      <c r="G44" s="36"/>
      <c r="H44" s="36"/>
      <c r="I44" s="36"/>
      <c r="J44" s="36"/>
      <c r="K44" s="41" t="s">
        <v>65</v>
      </c>
      <c r="L44" s="36"/>
      <c r="M44" s="36"/>
      <c r="N44" s="36"/>
      <c r="O44" s="36"/>
      <c r="P44" s="36"/>
      <c r="Q44" s="36"/>
      <c r="R44" s="36"/>
      <c r="S44" s="36"/>
      <c r="T44" s="37" t="s">
        <v>63</v>
      </c>
      <c r="V44" t="s">
        <v>109</v>
      </c>
      <c r="W44">
        <f>1/Y42</f>
        <v>1</v>
      </c>
      <c r="X44">
        <f>1/Y43</f>
        <v>1</v>
      </c>
      <c r="Y44">
        <v>1</v>
      </c>
    </row>
    <row r="45" spans="2:25" ht="29" x14ac:dyDescent="0.35">
      <c r="B45" s="37" t="s">
        <v>74</v>
      </c>
      <c r="C45" s="36"/>
      <c r="D45" s="36"/>
      <c r="E45" s="36"/>
      <c r="F45" s="36"/>
      <c r="G45" s="36"/>
      <c r="H45" s="36"/>
      <c r="I45" s="36"/>
      <c r="J45" s="36"/>
      <c r="K45" s="41" t="s">
        <v>65</v>
      </c>
      <c r="L45" s="36"/>
      <c r="M45" s="36"/>
      <c r="N45" s="36"/>
      <c r="O45" s="36"/>
      <c r="P45" s="36"/>
      <c r="Q45" s="36"/>
      <c r="R45" s="36"/>
      <c r="S45" s="36"/>
      <c r="T45" s="37" t="s">
        <v>63</v>
      </c>
    </row>
  </sheetData>
  <mergeCells count="15">
    <mergeCell ref="B34:B35"/>
    <mergeCell ref="C34:S34"/>
    <mergeCell ref="T34:T35"/>
    <mergeCell ref="B41:B42"/>
    <mergeCell ref="C41:S41"/>
    <mergeCell ref="T41:T42"/>
    <mergeCell ref="B27:B28"/>
    <mergeCell ref="C27:S27"/>
    <mergeCell ref="T27:T28"/>
    <mergeCell ref="B7:B8"/>
    <mergeCell ref="C7:S7"/>
    <mergeCell ref="T7:T8"/>
    <mergeCell ref="B17:B18"/>
    <mergeCell ref="C17:S17"/>
    <mergeCell ref="T17:T18"/>
  </mergeCells>
  <pageMargins left="0.7" right="0.7" top="0.75" bottom="0.75" header="0.3" footer="0.3"/>
  <drawing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CF7978B-738F-4E1E-874B-8FB5823AF393}">
  <dimension ref="B1:O78"/>
  <sheetViews>
    <sheetView workbookViewId="0">
      <selection activeCell="C10" sqref="C10:O10"/>
    </sheetView>
  </sheetViews>
  <sheetFormatPr defaultRowHeight="14.5" x14ac:dyDescent="0.35"/>
  <cols>
    <col min="2" max="2" width="11.90625" customWidth="1"/>
    <col min="3" max="3" width="8.453125" customWidth="1"/>
    <col min="4" max="4" width="13.7265625" customWidth="1"/>
    <col min="5" max="5" width="8.08984375" customWidth="1"/>
    <col min="6" max="6" width="8.81640625" bestFit="1" customWidth="1"/>
    <col min="7" max="7" width="10.81640625" customWidth="1"/>
    <col min="8" max="8" width="12.453125" customWidth="1"/>
    <col min="9" max="9" width="10.81640625" customWidth="1"/>
    <col min="10" max="10" width="12.36328125" bestFit="1" customWidth="1"/>
    <col min="11" max="11" width="11.08984375" customWidth="1"/>
    <col min="12" max="12" width="12.7265625" customWidth="1"/>
    <col min="13" max="13" width="10.90625" customWidth="1"/>
    <col min="14" max="14" width="8.26953125" customWidth="1"/>
    <col min="15" max="15" width="14.90625" customWidth="1"/>
  </cols>
  <sheetData>
    <row r="1" spans="2:15" ht="15" thickBot="1" x14ac:dyDescent="0.4"/>
    <row r="2" spans="2:15" ht="18" customHeight="1" x14ac:dyDescent="0.35">
      <c r="B2" s="97" t="s">
        <v>9</v>
      </c>
      <c r="C2" s="93" t="s">
        <v>23</v>
      </c>
      <c r="D2" s="94"/>
      <c r="E2" s="94"/>
      <c r="F2" s="96"/>
      <c r="G2" s="93" t="s">
        <v>24</v>
      </c>
      <c r="H2" s="94"/>
      <c r="I2" s="95"/>
      <c r="J2" s="93" t="s">
        <v>25</v>
      </c>
      <c r="K2" s="94"/>
      <c r="L2" s="95"/>
      <c r="M2" s="93" t="s">
        <v>26</v>
      </c>
      <c r="N2" s="94"/>
      <c r="O2" s="95"/>
    </row>
    <row r="3" spans="2:15" ht="33.5" customHeight="1" x14ac:dyDescent="0.35">
      <c r="B3" s="98"/>
      <c r="C3" s="23" t="s">
        <v>21</v>
      </c>
      <c r="D3" s="24" t="s">
        <v>22</v>
      </c>
      <c r="E3" s="24" t="s">
        <v>19</v>
      </c>
      <c r="F3" s="31" t="s">
        <v>20</v>
      </c>
      <c r="G3" s="23" t="s">
        <v>27</v>
      </c>
      <c r="H3" s="24" t="s">
        <v>32</v>
      </c>
      <c r="I3" s="25" t="s">
        <v>42</v>
      </c>
      <c r="J3" s="46" t="s">
        <v>28</v>
      </c>
      <c r="K3" s="24" t="s">
        <v>29</v>
      </c>
      <c r="L3" s="25" t="s">
        <v>43</v>
      </c>
      <c r="M3" s="23" t="s">
        <v>30</v>
      </c>
      <c r="N3" s="24" t="s">
        <v>31</v>
      </c>
      <c r="O3" s="25" t="s">
        <v>40</v>
      </c>
    </row>
    <row r="4" spans="2:15" ht="43.5" x14ac:dyDescent="0.35">
      <c r="B4" s="98"/>
      <c r="C4" s="26" t="s">
        <v>33</v>
      </c>
      <c r="D4" s="27" t="s">
        <v>34</v>
      </c>
      <c r="E4" s="27" t="s">
        <v>35</v>
      </c>
      <c r="F4" s="32" t="s">
        <v>36</v>
      </c>
      <c r="G4" s="23" t="s">
        <v>80</v>
      </c>
      <c r="H4" s="24" t="s">
        <v>80</v>
      </c>
      <c r="I4" s="30" t="s">
        <v>80</v>
      </c>
      <c r="J4" s="47" t="s">
        <v>37</v>
      </c>
      <c r="K4" s="24" t="s">
        <v>80</v>
      </c>
      <c r="L4" s="30" t="s">
        <v>44</v>
      </c>
      <c r="M4" s="28" t="s">
        <v>80</v>
      </c>
      <c r="N4" s="29" t="s">
        <v>39</v>
      </c>
      <c r="O4" s="30" t="s">
        <v>41</v>
      </c>
    </row>
    <row r="5" spans="2:15" x14ac:dyDescent="0.35">
      <c r="B5" s="21" t="s">
        <v>10</v>
      </c>
      <c r="C5" s="39">
        <v>200</v>
      </c>
      <c r="D5" s="14">
        <v>4500000</v>
      </c>
      <c r="E5" s="13">
        <v>180</v>
      </c>
      <c r="F5" s="33">
        <v>35</v>
      </c>
      <c r="G5" s="19">
        <v>7</v>
      </c>
      <c r="H5" s="13">
        <v>3</v>
      </c>
      <c r="I5" s="15">
        <v>7</v>
      </c>
      <c r="J5" s="19">
        <v>2</v>
      </c>
      <c r="K5" s="13">
        <v>5</v>
      </c>
      <c r="L5" s="15">
        <v>8</v>
      </c>
      <c r="M5" s="19">
        <v>6</v>
      </c>
      <c r="N5" s="13">
        <v>2</v>
      </c>
      <c r="O5" s="15">
        <v>1</v>
      </c>
    </row>
    <row r="6" spans="2:15" x14ac:dyDescent="0.35">
      <c r="B6" s="21" t="s">
        <v>11</v>
      </c>
      <c r="C6" s="39">
        <v>240</v>
      </c>
      <c r="D6" s="14">
        <v>4200000</v>
      </c>
      <c r="E6" s="13">
        <v>200</v>
      </c>
      <c r="F6" s="33">
        <v>40</v>
      </c>
      <c r="G6" s="19">
        <v>3</v>
      </c>
      <c r="H6" s="13">
        <v>5</v>
      </c>
      <c r="I6" s="15">
        <v>5</v>
      </c>
      <c r="J6" s="19">
        <v>1</v>
      </c>
      <c r="K6" s="13">
        <v>3</v>
      </c>
      <c r="L6" s="15">
        <v>5</v>
      </c>
      <c r="M6" s="19">
        <v>5</v>
      </c>
      <c r="N6" s="13">
        <v>5</v>
      </c>
      <c r="O6" s="15">
        <v>3</v>
      </c>
    </row>
    <row r="7" spans="2:15" x14ac:dyDescent="0.35">
      <c r="B7" s="21" t="s">
        <v>12</v>
      </c>
      <c r="C7" s="39">
        <v>160</v>
      </c>
      <c r="D7" s="14">
        <v>4800000</v>
      </c>
      <c r="E7" s="13">
        <v>200</v>
      </c>
      <c r="F7" s="33">
        <v>38</v>
      </c>
      <c r="G7" s="19">
        <v>5</v>
      </c>
      <c r="H7" s="13">
        <v>5</v>
      </c>
      <c r="I7" s="15">
        <v>6</v>
      </c>
      <c r="J7" s="19">
        <v>1</v>
      </c>
      <c r="K7" s="13">
        <v>7</v>
      </c>
      <c r="L7" s="15">
        <v>5</v>
      </c>
      <c r="M7" s="19">
        <v>7</v>
      </c>
      <c r="N7" s="13">
        <v>3</v>
      </c>
      <c r="O7" s="15">
        <v>5</v>
      </c>
    </row>
    <row r="8" spans="2:15" x14ac:dyDescent="0.35">
      <c r="B8" s="21" t="s">
        <v>13</v>
      </c>
      <c r="C8" s="39">
        <v>220</v>
      </c>
      <c r="D8" s="14">
        <v>4300000</v>
      </c>
      <c r="E8" s="13">
        <v>220</v>
      </c>
      <c r="F8" s="33">
        <v>45</v>
      </c>
      <c r="G8" s="19">
        <v>5</v>
      </c>
      <c r="H8" s="13">
        <v>7</v>
      </c>
      <c r="I8" s="15">
        <v>6</v>
      </c>
      <c r="J8" s="19">
        <v>2</v>
      </c>
      <c r="K8" s="13">
        <v>5</v>
      </c>
      <c r="L8" s="15">
        <v>7</v>
      </c>
      <c r="M8" s="19">
        <v>7</v>
      </c>
      <c r="N8" s="13">
        <v>0</v>
      </c>
      <c r="O8" s="15">
        <v>1</v>
      </c>
    </row>
    <row r="9" spans="2:15" ht="15" thickBot="1" x14ac:dyDescent="0.4">
      <c r="B9" s="22" t="s">
        <v>14</v>
      </c>
      <c r="C9" s="40">
        <v>180</v>
      </c>
      <c r="D9" s="16">
        <v>4600000</v>
      </c>
      <c r="E9" s="17">
        <v>220</v>
      </c>
      <c r="F9" s="34">
        <v>37</v>
      </c>
      <c r="G9" s="20">
        <v>5</v>
      </c>
      <c r="H9" s="17">
        <v>7</v>
      </c>
      <c r="I9" s="18">
        <v>5</v>
      </c>
      <c r="J9" s="20">
        <v>1</v>
      </c>
      <c r="K9" s="17">
        <v>7</v>
      </c>
      <c r="L9" s="18">
        <v>6</v>
      </c>
      <c r="M9" s="20">
        <v>5</v>
      </c>
      <c r="N9" s="17">
        <v>2</v>
      </c>
      <c r="O9" s="18">
        <v>3</v>
      </c>
    </row>
    <row r="10" spans="2:15" x14ac:dyDescent="0.35">
      <c r="B10" s="7"/>
      <c r="C10" s="43" t="s">
        <v>77</v>
      </c>
      <c r="D10" s="44" t="s">
        <v>77</v>
      </c>
      <c r="E10" s="45" t="s">
        <v>77</v>
      </c>
      <c r="F10" t="s">
        <v>78</v>
      </c>
      <c r="G10" t="s">
        <v>78</v>
      </c>
      <c r="H10" t="s">
        <v>78</v>
      </c>
      <c r="I10" t="s">
        <v>78</v>
      </c>
      <c r="J10" s="45" t="s">
        <v>77</v>
      </c>
      <c r="K10" t="s">
        <v>78</v>
      </c>
      <c r="L10" t="s">
        <v>78</v>
      </c>
      <c r="M10" t="s">
        <v>78</v>
      </c>
      <c r="N10" s="45" t="s">
        <v>77</v>
      </c>
      <c r="O10" t="s">
        <v>78</v>
      </c>
    </row>
    <row r="12" spans="2:15" x14ac:dyDescent="0.35">
      <c r="B12" t="s">
        <v>71</v>
      </c>
    </row>
    <row r="13" spans="2:15" x14ac:dyDescent="0.35">
      <c r="B13" t="s">
        <v>79</v>
      </c>
    </row>
    <row r="14" spans="2:15" x14ac:dyDescent="0.35">
      <c r="B14" t="s">
        <v>76</v>
      </c>
    </row>
    <row r="15" spans="2:15" x14ac:dyDescent="0.35">
      <c r="B15" t="s">
        <v>38</v>
      </c>
    </row>
    <row r="16" spans="2:15" x14ac:dyDescent="0.35">
      <c r="B16" t="s">
        <v>66</v>
      </c>
    </row>
    <row r="17" spans="5:15" x14ac:dyDescent="0.35">
      <c r="E17" s="1"/>
      <c r="F17" s="3"/>
      <c r="H17" s="3"/>
      <c r="L17" s="9"/>
      <c r="O17" s="9"/>
    </row>
    <row r="18" spans="5:15" x14ac:dyDescent="0.35">
      <c r="E18" s="2"/>
      <c r="F18" s="3"/>
      <c r="H18" s="3"/>
    </row>
    <row r="19" spans="5:15" x14ac:dyDescent="0.35">
      <c r="E19" s="1"/>
      <c r="F19" s="3"/>
      <c r="H19" s="3"/>
    </row>
    <row r="20" spans="5:15" x14ac:dyDescent="0.35">
      <c r="E20" s="1"/>
      <c r="F20" s="3"/>
      <c r="H20" s="3"/>
    </row>
    <row r="21" spans="5:15" x14ac:dyDescent="0.35">
      <c r="E21" s="1"/>
      <c r="F21" s="3"/>
      <c r="H21" s="3"/>
    </row>
    <row r="22" spans="5:15" x14ac:dyDescent="0.35">
      <c r="E22" s="1"/>
      <c r="F22" s="3"/>
      <c r="H22" s="3"/>
    </row>
    <row r="23" spans="5:15" x14ac:dyDescent="0.35">
      <c r="E23" s="5"/>
      <c r="F23" s="3"/>
      <c r="H23" s="1"/>
    </row>
    <row r="32" spans="5:15" x14ac:dyDescent="0.35">
      <c r="E32" s="4"/>
    </row>
    <row r="40" spans="5:5" x14ac:dyDescent="0.35">
      <c r="E40">
        <v>0.48</v>
      </c>
    </row>
    <row r="41" spans="5:5" x14ac:dyDescent="0.35">
      <c r="E41">
        <v>0.24</v>
      </c>
    </row>
    <row r="42" spans="5:5" x14ac:dyDescent="0.35">
      <c r="E42">
        <v>0.16</v>
      </c>
    </row>
    <row r="43" spans="5:5" x14ac:dyDescent="0.35">
      <c r="E43">
        <v>0.12</v>
      </c>
    </row>
    <row r="44" spans="5:5" x14ac:dyDescent="0.35">
      <c r="E44">
        <f>SUM(E40:E43)</f>
        <v>1</v>
      </c>
    </row>
    <row r="61" spans="13:13" x14ac:dyDescent="0.35">
      <c r="M61" s="10">
        <v>0.19409999999999999</v>
      </c>
    </row>
    <row r="62" spans="13:13" x14ac:dyDescent="0.35">
      <c r="M62" s="10">
        <v>0.15670000000000001</v>
      </c>
    </row>
    <row r="63" spans="13:13" x14ac:dyDescent="0.35">
      <c r="M63" s="10">
        <v>6.5500000000000003E-2</v>
      </c>
    </row>
    <row r="64" spans="13:13" x14ac:dyDescent="0.35">
      <c r="M64" s="10">
        <v>3.3099999999999997E-2</v>
      </c>
    </row>
    <row r="65" spans="13:13" x14ac:dyDescent="0.35">
      <c r="M65" s="10">
        <v>9.1000000000000004E-3</v>
      </c>
    </row>
    <row r="66" spans="13:13" x14ac:dyDescent="0.35">
      <c r="M66" s="10">
        <v>5.28E-2</v>
      </c>
    </row>
    <row r="67" spans="13:13" x14ac:dyDescent="0.35">
      <c r="M67" s="10">
        <v>5.8299999999999998E-2</v>
      </c>
    </row>
    <row r="68" spans="13:13" x14ac:dyDescent="0.35">
      <c r="M68" s="10">
        <v>1.7100000000000001E-2</v>
      </c>
    </row>
    <row r="69" spans="13:13" x14ac:dyDescent="0.35">
      <c r="M69" s="10">
        <v>3.3399999999999999E-2</v>
      </c>
    </row>
    <row r="70" spans="13:13" x14ac:dyDescent="0.35">
      <c r="M70" s="10">
        <v>0.113</v>
      </c>
    </row>
    <row r="71" spans="13:13" x14ac:dyDescent="0.35">
      <c r="M71" s="10">
        <v>8.0299999999999996E-2</v>
      </c>
    </row>
    <row r="72" spans="13:13" x14ac:dyDescent="0.35">
      <c r="M72" s="10">
        <v>3.9E-2</v>
      </c>
    </row>
    <row r="73" spans="13:13" x14ac:dyDescent="0.35">
      <c r="M73" s="10">
        <v>2.7400000000000001E-2</v>
      </c>
    </row>
    <row r="74" spans="13:13" x14ac:dyDescent="0.35">
      <c r="M74" s="10">
        <v>6.3100000000000003E-2</v>
      </c>
    </row>
    <row r="75" spans="13:13" x14ac:dyDescent="0.35">
      <c r="M75" s="10">
        <v>1.7000000000000001E-2</v>
      </c>
    </row>
    <row r="76" spans="13:13" x14ac:dyDescent="0.35">
      <c r="M76" s="10">
        <v>4.0099999999999997E-2</v>
      </c>
    </row>
    <row r="78" spans="13:13" x14ac:dyDescent="0.35">
      <c r="M78" s="8">
        <f>SUM(M61:M77)</f>
        <v>1</v>
      </c>
    </row>
  </sheetData>
  <mergeCells count="5">
    <mergeCell ref="M2:O2"/>
    <mergeCell ref="J2:L2"/>
    <mergeCell ref="G2:I2"/>
    <mergeCell ref="C2:F2"/>
    <mergeCell ref="B2:B4"/>
  </mergeCells>
  <pageMargins left="0.7" right="0.7" top="0.75" bottom="0.75" header="0.3" footer="0.3"/>
  <drawing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FF5228A-18A6-44CE-B7A0-6B42B67820F5}">
  <dimension ref="A1:W139"/>
  <sheetViews>
    <sheetView zoomScaleNormal="100" workbookViewId="0">
      <selection activeCell="E101" sqref="E101"/>
    </sheetView>
  </sheetViews>
  <sheetFormatPr defaultRowHeight="14.5" x14ac:dyDescent="0.35"/>
  <cols>
    <col min="1" max="1" width="13.453125" bestFit="1" customWidth="1"/>
    <col min="2" max="2" width="11.36328125" customWidth="1"/>
    <col min="3" max="3" width="9.81640625" customWidth="1"/>
    <col min="4" max="4" width="12.54296875" bestFit="1" customWidth="1"/>
    <col min="5" max="5" width="11.81640625" bestFit="1" customWidth="1"/>
    <col min="7" max="7" width="10.1796875" bestFit="1" customWidth="1"/>
    <col min="8" max="8" width="15.6328125" bestFit="1" customWidth="1"/>
    <col min="10" max="10" width="11.81640625" bestFit="1" customWidth="1"/>
    <col min="11" max="11" width="12.6328125" bestFit="1" customWidth="1"/>
    <col min="12" max="12" width="11.81640625" bestFit="1" customWidth="1"/>
    <col min="13" max="13" width="12.6328125" bestFit="1" customWidth="1"/>
    <col min="14" max="16" width="11.81640625" bestFit="1" customWidth="1"/>
    <col min="17" max="17" width="10.54296875" customWidth="1"/>
    <col min="19" max="19" width="12.1796875" customWidth="1"/>
  </cols>
  <sheetData>
    <row r="1" spans="1:13" x14ac:dyDescent="0.35">
      <c r="A1" s="13" t="s">
        <v>97</v>
      </c>
      <c r="B1" s="13">
        <v>1</v>
      </c>
      <c r="C1" s="13">
        <v>2</v>
      </c>
      <c r="D1" s="13">
        <v>3</v>
      </c>
      <c r="E1" s="13">
        <v>4</v>
      </c>
      <c r="F1" s="13">
        <v>5</v>
      </c>
      <c r="G1" s="13">
        <v>6</v>
      </c>
      <c r="H1" s="13">
        <v>7</v>
      </c>
      <c r="I1" s="13">
        <v>8</v>
      </c>
      <c r="J1" s="13">
        <v>9</v>
      </c>
      <c r="K1" s="13">
        <v>10</v>
      </c>
      <c r="L1" s="13">
        <v>11</v>
      </c>
      <c r="M1" s="13">
        <v>12</v>
      </c>
    </row>
    <row r="2" spans="1:13" x14ac:dyDescent="0.35">
      <c r="A2" s="13" t="s">
        <v>96</v>
      </c>
      <c r="B2" s="13">
        <v>0</v>
      </c>
      <c r="C2" s="13">
        <v>0</v>
      </c>
      <c r="D2" s="13">
        <v>0.57999999999999996</v>
      </c>
      <c r="E2" s="13">
        <v>0.9</v>
      </c>
      <c r="F2" s="13">
        <v>1.1200000000000001</v>
      </c>
      <c r="G2" s="13">
        <v>1.24</v>
      </c>
      <c r="H2" s="13">
        <v>1.32</v>
      </c>
      <c r="I2" s="13">
        <v>1.41</v>
      </c>
      <c r="J2" s="13">
        <v>1.45</v>
      </c>
      <c r="K2" s="13">
        <v>1.49</v>
      </c>
      <c r="L2" s="13">
        <v>1.52</v>
      </c>
      <c r="M2" s="13">
        <v>1.54</v>
      </c>
    </row>
    <row r="4" spans="1:13" x14ac:dyDescent="0.35">
      <c r="A4" s="4" t="s">
        <v>101</v>
      </c>
    </row>
    <row r="5" spans="1:13" x14ac:dyDescent="0.35">
      <c r="B5" s="99" t="s">
        <v>81</v>
      </c>
      <c r="C5" s="99"/>
      <c r="D5" s="99"/>
      <c r="E5" s="99"/>
      <c r="F5" s="99"/>
    </row>
    <row r="6" spans="1:13" x14ac:dyDescent="0.35">
      <c r="B6" s="13" t="s">
        <v>46</v>
      </c>
      <c r="C6" s="13" t="s">
        <v>82</v>
      </c>
      <c r="D6" s="13" t="s">
        <v>83</v>
      </c>
      <c r="E6" s="13" t="s">
        <v>84</v>
      </c>
      <c r="F6" s="13" t="s">
        <v>85</v>
      </c>
    </row>
    <row r="7" spans="1:13" x14ac:dyDescent="0.35">
      <c r="B7" s="13" t="s">
        <v>82</v>
      </c>
      <c r="C7" s="13">
        <v>1</v>
      </c>
      <c r="D7" s="13">
        <v>7</v>
      </c>
      <c r="E7" s="13">
        <v>7</v>
      </c>
      <c r="F7" s="13">
        <v>7</v>
      </c>
    </row>
    <row r="8" spans="1:13" x14ac:dyDescent="0.35">
      <c r="B8" s="13" t="s">
        <v>83</v>
      </c>
      <c r="C8" s="13">
        <f>1/D7</f>
        <v>0.14285714285714285</v>
      </c>
      <c r="D8" s="13">
        <v>1</v>
      </c>
      <c r="E8" s="13">
        <v>5</v>
      </c>
      <c r="F8" s="13">
        <v>4</v>
      </c>
    </row>
    <row r="9" spans="1:13" x14ac:dyDescent="0.35">
      <c r="B9" s="13" t="s">
        <v>84</v>
      </c>
      <c r="C9" s="13">
        <f>1/E7</f>
        <v>0.14285714285714285</v>
      </c>
      <c r="D9" s="13">
        <f>1/E8</f>
        <v>0.2</v>
      </c>
      <c r="E9" s="13">
        <v>1</v>
      </c>
      <c r="F9" s="13">
        <v>5</v>
      </c>
    </row>
    <row r="10" spans="1:13" x14ac:dyDescent="0.35">
      <c r="B10" s="13" t="s">
        <v>85</v>
      </c>
      <c r="C10" s="13">
        <f>1/F7</f>
        <v>0.14285714285714285</v>
      </c>
      <c r="D10" s="13">
        <f>1/F8</f>
        <v>0.25</v>
      </c>
      <c r="E10" s="13">
        <f>1/F9</f>
        <v>0.2</v>
      </c>
      <c r="F10" s="13">
        <v>1</v>
      </c>
    </row>
    <row r="11" spans="1:13" x14ac:dyDescent="0.35">
      <c r="B11" s="99" t="s">
        <v>86</v>
      </c>
      <c r="C11" s="99"/>
      <c r="D11" s="99"/>
      <c r="E11" s="99"/>
      <c r="F11" s="99"/>
    </row>
    <row r="12" spans="1:13" x14ac:dyDescent="0.35">
      <c r="B12" s="13" t="s">
        <v>46</v>
      </c>
      <c r="C12" s="13" t="s">
        <v>82</v>
      </c>
      <c r="D12" s="13" t="s">
        <v>83</v>
      </c>
      <c r="E12" s="13" t="s">
        <v>84</v>
      </c>
      <c r="F12" s="13" t="s">
        <v>85</v>
      </c>
    </row>
    <row r="13" spans="1:13" x14ac:dyDescent="0.35">
      <c r="B13" s="13" t="s">
        <v>82</v>
      </c>
      <c r="C13" s="13">
        <v>1</v>
      </c>
      <c r="D13" s="13">
        <f>1/7</f>
        <v>0.14285714285714285</v>
      </c>
      <c r="E13" s="13">
        <v>1</v>
      </c>
      <c r="F13" s="13">
        <v>5</v>
      </c>
      <c r="H13" s="13" t="s">
        <v>46</v>
      </c>
      <c r="I13" s="13" t="s">
        <v>82</v>
      </c>
      <c r="J13" s="13" t="s">
        <v>83</v>
      </c>
      <c r="K13" s="13" t="s">
        <v>84</v>
      </c>
      <c r="L13" s="13" t="s">
        <v>85</v>
      </c>
    </row>
    <row r="14" spans="1:13" x14ac:dyDescent="0.35">
      <c r="B14" s="13" t="s">
        <v>83</v>
      </c>
      <c r="C14" s="13">
        <f>1/D13</f>
        <v>7</v>
      </c>
      <c r="D14" s="13">
        <v>1</v>
      </c>
      <c r="E14" s="13">
        <f>1/3</f>
        <v>0.33333333333333331</v>
      </c>
      <c r="F14" s="13">
        <v>3</v>
      </c>
      <c r="H14" s="13" t="s">
        <v>82</v>
      </c>
      <c r="I14" s="13">
        <v>1</v>
      </c>
      <c r="J14" s="13">
        <f>GEOMEAN(D7,D19,D13)</f>
        <v>0.52275795857471019</v>
      </c>
      <c r="K14" s="13">
        <f t="shared" ref="K14:L16" si="0">GEOMEAN(E7,E19,E13)</f>
        <v>2.7589241763811208</v>
      </c>
      <c r="L14" s="13">
        <f t="shared" si="0"/>
        <v>4.7176939803165334</v>
      </c>
    </row>
    <row r="15" spans="1:13" x14ac:dyDescent="0.35">
      <c r="B15" s="13" t="s">
        <v>84</v>
      </c>
      <c r="C15" s="13">
        <f>1/E13</f>
        <v>1</v>
      </c>
      <c r="D15" s="13">
        <f>1/E14</f>
        <v>3</v>
      </c>
      <c r="E15" s="13">
        <v>1</v>
      </c>
      <c r="F15" s="13">
        <v>5</v>
      </c>
      <c r="H15" s="13" t="s">
        <v>83</v>
      </c>
      <c r="I15" s="13">
        <f>1/J14</f>
        <v>1.9129311827723892</v>
      </c>
      <c r="J15" s="13">
        <v>1</v>
      </c>
      <c r="K15" s="13">
        <f t="shared" si="0"/>
        <v>2.0274006651911334</v>
      </c>
      <c r="L15" s="13">
        <f t="shared" si="0"/>
        <v>4.379519139887889</v>
      </c>
    </row>
    <row r="16" spans="1:13" x14ac:dyDescent="0.35">
      <c r="B16" s="13" t="s">
        <v>85</v>
      </c>
      <c r="C16" s="13">
        <f>1/F13</f>
        <v>0.2</v>
      </c>
      <c r="D16" s="13">
        <f>1/F14</f>
        <v>0.33333333333333331</v>
      </c>
      <c r="E16" s="13">
        <f>1/F15</f>
        <v>0.2</v>
      </c>
      <c r="F16" s="13">
        <v>1</v>
      </c>
      <c r="H16" s="13" t="s">
        <v>84</v>
      </c>
      <c r="I16" s="13">
        <f>1/K14</f>
        <v>0.36246012433429736</v>
      </c>
      <c r="J16" s="13">
        <f>1/K15</f>
        <v>0.49324241486609405</v>
      </c>
      <c r="K16" s="13">
        <v>1</v>
      </c>
      <c r="L16" s="13">
        <f t="shared" si="0"/>
        <v>5.5934447104069838</v>
      </c>
    </row>
    <row r="17" spans="2:20" x14ac:dyDescent="0.35">
      <c r="B17" s="99" t="s">
        <v>87</v>
      </c>
      <c r="C17" s="99"/>
      <c r="D17" s="99"/>
      <c r="E17" s="99"/>
      <c r="F17" s="99"/>
      <c r="H17" s="13" t="s">
        <v>85</v>
      </c>
      <c r="I17" s="13">
        <f>1/L14</f>
        <v>0.2119679665896653</v>
      </c>
      <c r="J17" s="13">
        <f>1/L15</f>
        <v>0.22833557019814713</v>
      </c>
      <c r="K17" s="13">
        <f>1/L16</f>
        <v>0.17878070701931353</v>
      </c>
      <c r="L17" s="13">
        <v>1</v>
      </c>
    </row>
    <row r="18" spans="2:20" x14ac:dyDescent="0.35">
      <c r="B18" s="13" t="s">
        <v>46</v>
      </c>
      <c r="C18" s="13" t="s">
        <v>82</v>
      </c>
      <c r="D18" s="13" t="s">
        <v>83</v>
      </c>
      <c r="E18" s="13" t="s">
        <v>84</v>
      </c>
      <c r="F18" s="13" t="s">
        <v>85</v>
      </c>
      <c r="H18" s="13" t="s">
        <v>88</v>
      </c>
      <c r="I18" s="13">
        <f>SUM(I14:I17)</f>
        <v>3.4873592736963519</v>
      </c>
      <c r="J18" s="13">
        <f t="shared" ref="J18:L18" si="1">SUM(J14:J17)</f>
        <v>2.2443359436389514</v>
      </c>
      <c r="K18" s="13">
        <f t="shared" si="1"/>
        <v>5.9651055485915681</v>
      </c>
      <c r="L18" s="13">
        <f t="shared" si="1"/>
        <v>15.690657830611407</v>
      </c>
    </row>
    <row r="19" spans="2:20" x14ac:dyDescent="0.35">
      <c r="B19" s="13" t="s">
        <v>82</v>
      </c>
      <c r="C19" s="13">
        <v>1</v>
      </c>
      <c r="D19" s="13">
        <f>1/7</f>
        <v>0.14285714285714285</v>
      </c>
      <c r="E19" s="13">
        <v>3</v>
      </c>
      <c r="F19" s="13">
        <v>3</v>
      </c>
    </row>
    <row r="20" spans="2:20" x14ac:dyDescent="0.35">
      <c r="B20" s="13" t="s">
        <v>83</v>
      </c>
      <c r="C20" s="13">
        <f>1/D19</f>
        <v>7</v>
      </c>
      <c r="D20" s="13">
        <v>1</v>
      </c>
      <c r="E20" s="13">
        <v>5</v>
      </c>
      <c r="F20" s="13">
        <v>7</v>
      </c>
      <c r="H20" t="s">
        <v>89</v>
      </c>
    </row>
    <row r="21" spans="2:20" x14ac:dyDescent="0.35">
      <c r="B21" s="13" t="s">
        <v>84</v>
      </c>
      <c r="C21" s="13">
        <f>1/E19</f>
        <v>0.33333333333333331</v>
      </c>
      <c r="D21" s="13">
        <f>1/E20</f>
        <v>0.2</v>
      </c>
      <c r="E21" s="13">
        <v>1</v>
      </c>
      <c r="F21" s="13">
        <v>7</v>
      </c>
      <c r="H21" s="13" t="s">
        <v>46</v>
      </c>
      <c r="I21" s="13" t="s">
        <v>82</v>
      </c>
      <c r="J21" s="13" t="s">
        <v>83</v>
      </c>
      <c r="K21" s="13" t="s">
        <v>84</v>
      </c>
      <c r="L21" s="13" t="s">
        <v>85</v>
      </c>
      <c r="M21" s="13" t="s">
        <v>90</v>
      </c>
      <c r="N21" s="13" t="s">
        <v>91</v>
      </c>
      <c r="O21" s="13" t="s">
        <v>92</v>
      </c>
    </row>
    <row r="22" spans="2:20" x14ac:dyDescent="0.35">
      <c r="B22" s="13" t="s">
        <v>85</v>
      </c>
      <c r="C22" s="13">
        <f>1/F19</f>
        <v>0.33333333333333331</v>
      </c>
      <c r="D22" s="13">
        <f>1/F20</f>
        <v>0.14285714285714285</v>
      </c>
      <c r="E22" s="13">
        <f>1/F21</f>
        <v>0.14285714285714285</v>
      </c>
      <c r="F22" s="13">
        <v>1</v>
      </c>
      <c r="H22" s="13" t="s">
        <v>82</v>
      </c>
      <c r="I22" s="13">
        <f>I14/$I$18</f>
        <v>0.28674992208074718</v>
      </c>
      <c r="J22" s="13">
        <f>J14/$J$18</f>
        <v>0.23292322170232407</v>
      </c>
      <c r="K22" s="13">
        <f>K14/$K$18</f>
        <v>0.46251053797908664</v>
      </c>
      <c r="L22" s="13">
        <f>L14/$L$18</f>
        <v>0.3006689732990438</v>
      </c>
      <c r="M22" s="61">
        <f>SUM(I22:L22)/4</f>
        <v>0.3207131637653004</v>
      </c>
      <c r="N22" s="13">
        <f>MMULT(I14:L14,$M$22:$M$25)</f>
        <v>1.4184993423147763</v>
      </c>
      <c r="O22" s="13">
        <f>N22/M22</f>
        <v>4.4229532884183129</v>
      </c>
    </row>
    <row r="23" spans="2:20" x14ac:dyDescent="0.35">
      <c r="H23" s="13" t="s">
        <v>83</v>
      </c>
      <c r="I23" s="13">
        <f>I15/$I$18</f>
        <v>0.5485328676058141</v>
      </c>
      <c r="J23" s="13">
        <f t="shared" ref="J23:J25" si="2">J15/$J$18</f>
        <v>0.44556609398618224</v>
      </c>
      <c r="K23" s="13">
        <f t="shared" ref="K23:K25" si="3">K15/$K$18</f>
        <v>0.3398767462999589</v>
      </c>
      <c r="L23" s="13">
        <f t="shared" ref="L23:L25" si="4">L15/$L$18</f>
        <v>0.27911634981573208</v>
      </c>
      <c r="M23" s="61">
        <f t="shared" ref="M23:M25" si="5">SUM(I23:L23)/4</f>
        <v>0.40327301442692187</v>
      </c>
      <c r="N23" s="13">
        <f>MMULT(I15:L15,$M$22:$M$25)</f>
        <v>1.7270329363972303</v>
      </c>
      <c r="O23" s="13">
        <f t="shared" ref="O23:O25" si="6">N23/M23</f>
        <v>4.2825403005243494</v>
      </c>
    </row>
    <row r="24" spans="2:20" x14ac:dyDescent="0.35">
      <c r="H24" s="13" t="s">
        <v>84</v>
      </c>
      <c r="I24" s="13">
        <f>I16/$I$18</f>
        <v>0.10393541241023771</v>
      </c>
      <c r="J24" s="13">
        <f t="shared" si="2"/>
        <v>0.21977209618019755</v>
      </c>
      <c r="K24" s="13">
        <f t="shared" si="3"/>
        <v>0.16764162710182251</v>
      </c>
      <c r="L24" s="13">
        <f t="shared" si="4"/>
        <v>0.35648248599842342</v>
      </c>
      <c r="M24" s="61">
        <f t="shared" si="5"/>
        <v>0.21195790542267029</v>
      </c>
      <c r="N24" s="13">
        <f>MMULT(I16:L16,$M$22:$M$25)</f>
        <v>0.88540822079750237</v>
      </c>
      <c r="O24" s="13">
        <f t="shared" si="6"/>
        <v>4.1772833102492157</v>
      </c>
    </row>
    <row r="25" spans="2:20" x14ac:dyDescent="0.35">
      <c r="H25" s="13" t="s">
        <v>85</v>
      </c>
      <c r="I25" s="13">
        <f>I17/$I$18</f>
        <v>6.0781797903200943E-2</v>
      </c>
      <c r="J25" s="13">
        <f t="shared" si="2"/>
        <v>0.10173858813129613</v>
      </c>
      <c r="K25" s="13">
        <f t="shared" si="3"/>
        <v>2.997108861913194E-2</v>
      </c>
      <c r="L25" s="13">
        <f t="shared" si="4"/>
        <v>6.3732190886800683E-2</v>
      </c>
      <c r="M25" s="61">
        <f t="shared" si="5"/>
        <v>6.4055916385107436E-2</v>
      </c>
      <c r="N25" s="13">
        <f>MMULT(I17:L17,$M$22:$M$25)</f>
        <v>0.26201239145147109</v>
      </c>
      <c r="O25" s="13">
        <f t="shared" si="6"/>
        <v>4.0903698867757852</v>
      </c>
    </row>
    <row r="26" spans="2:20" x14ac:dyDescent="0.35">
      <c r="H26" s="13" t="s">
        <v>88</v>
      </c>
      <c r="I26" s="13">
        <f>SUM(I22:I25)</f>
        <v>1</v>
      </c>
      <c r="J26" s="13">
        <f t="shared" ref="J26:L26" si="7">SUM(J22:J25)</f>
        <v>1</v>
      </c>
      <c r="K26" s="13">
        <f t="shared" si="7"/>
        <v>1</v>
      </c>
      <c r="L26" s="13">
        <f t="shared" si="7"/>
        <v>1</v>
      </c>
      <c r="M26" s="60"/>
    </row>
    <row r="27" spans="2:20" x14ac:dyDescent="0.35">
      <c r="O27" s="13" t="s">
        <v>93</v>
      </c>
      <c r="P27" s="13">
        <f>AVERAGE(O22:O25)</f>
        <v>4.243286696491916</v>
      </c>
      <c r="Q27" s="100" t="s">
        <v>122</v>
      </c>
      <c r="R27" s="101"/>
      <c r="S27" s="101"/>
      <c r="T27" s="102"/>
    </row>
    <row r="28" spans="2:20" x14ac:dyDescent="0.35">
      <c r="O28" s="13" t="s">
        <v>94</v>
      </c>
      <c r="P28" s="13">
        <v>4</v>
      </c>
      <c r="Q28" s="103" t="str">
        <f>IF(P31&lt;=0.1,"Konsisten","Tidak Konsisten")</f>
        <v>Konsisten</v>
      </c>
      <c r="R28" s="104"/>
      <c r="S28" s="104"/>
      <c r="T28" s="105"/>
    </row>
    <row r="29" spans="2:20" x14ac:dyDescent="0.35">
      <c r="O29" s="13" t="s">
        <v>95</v>
      </c>
      <c r="P29" s="13">
        <f>(P27-P28)/(P28-1)</f>
        <v>8.1095565497305344E-2</v>
      </c>
      <c r="Q29" s="57" t="s">
        <v>100</v>
      </c>
      <c r="R29" s="58"/>
      <c r="S29" s="58"/>
      <c r="T29" s="59"/>
    </row>
    <row r="30" spans="2:20" x14ac:dyDescent="0.35">
      <c r="O30" s="13" t="s">
        <v>98</v>
      </c>
      <c r="P30" s="13">
        <f>$E$2</f>
        <v>0.9</v>
      </c>
    </row>
    <row r="31" spans="2:20" x14ac:dyDescent="0.35">
      <c r="O31" s="13" t="s">
        <v>99</v>
      </c>
      <c r="P31" s="13">
        <f>P29/P30</f>
        <v>9.0106183885894822E-2</v>
      </c>
    </row>
    <row r="34" spans="1:12" x14ac:dyDescent="0.35">
      <c r="A34" s="4" t="s">
        <v>102</v>
      </c>
    </row>
    <row r="35" spans="1:12" x14ac:dyDescent="0.35">
      <c r="A35" t="s">
        <v>82</v>
      </c>
    </row>
    <row r="36" spans="1:12" x14ac:dyDescent="0.35">
      <c r="B36" s="99" t="s">
        <v>81</v>
      </c>
      <c r="C36" s="99"/>
      <c r="D36" s="99"/>
      <c r="E36" s="99"/>
      <c r="F36" s="99"/>
    </row>
    <row r="37" spans="1:12" x14ac:dyDescent="0.35">
      <c r="B37" s="13" t="s">
        <v>103</v>
      </c>
      <c r="C37" s="13" t="s">
        <v>21</v>
      </c>
      <c r="D37" s="13" t="s">
        <v>22</v>
      </c>
      <c r="E37" s="13" t="s">
        <v>104</v>
      </c>
      <c r="F37" s="13" t="s">
        <v>20</v>
      </c>
    </row>
    <row r="38" spans="1:12" x14ac:dyDescent="0.35">
      <c r="B38" s="13" t="s">
        <v>21</v>
      </c>
      <c r="C38" s="13">
        <v>1</v>
      </c>
      <c r="D38" s="13">
        <f>1/9</f>
        <v>0.1111111111111111</v>
      </c>
      <c r="E38" s="13">
        <v>1</v>
      </c>
      <c r="F38" s="13">
        <v>7</v>
      </c>
    </row>
    <row r="39" spans="1:12" x14ac:dyDescent="0.35">
      <c r="B39" s="13" t="s">
        <v>22</v>
      </c>
      <c r="C39" s="13">
        <f>1/D38</f>
        <v>9</v>
      </c>
      <c r="D39" s="13">
        <v>1</v>
      </c>
      <c r="E39" s="13">
        <v>5</v>
      </c>
      <c r="F39" s="13">
        <v>7</v>
      </c>
    </row>
    <row r="40" spans="1:12" x14ac:dyDescent="0.35">
      <c r="B40" s="13" t="s">
        <v>104</v>
      </c>
      <c r="C40" s="13">
        <f>1/E38</f>
        <v>1</v>
      </c>
      <c r="D40" s="13">
        <f>1/E39</f>
        <v>0.2</v>
      </c>
      <c r="E40" s="13">
        <v>1</v>
      </c>
      <c r="F40" s="13">
        <v>7</v>
      </c>
    </row>
    <row r="41" spans="1:12" x14ac:dyDescent="0.35">
      <c r="B41" s="13" t="s">
        <v>20</v>
      </c>
      <c r="C41" s="13">
        <f>1/F38</f>
        <v>0.14285714285714285</v>
      </c>
      <c r="D41" s="13">
        <f>1/F39</f>
        <v>0.14285714285714285</v>
      </c>
      <c r="E41" s="13">
        <f>1/F40</f>
        <v>0.14285714285714285</v>
      </c>
      <c r="F41" s="13">
        <v>1</v>
      </c>
    </row>
    <row r="42" spans="1:12" x14ac:dyDescent="0.35">
      <c r="B42" s="99" t="s">
        <v>86</v>
      </c>
      <c r="C42" s="99"/>
      <c r="D42" s="99"/>
      <c r="E42" s="99"/>
      <c r="F42" s="99"/>
    </row>
    <row r="43" spans="1:12" x14ac:dyDescent="0.35">
      <c r="B43" s="13" t="s">
        <v>103</v>
      </c>
      <c r="C43" s="13" t="s">
        <v>21</v>
      </c>
      <c r="D43" s="13" t="s">
        <v>22</v>
      </c>
      <c r="E43" s="13" t="s">
        <v>104</v>
      </c>
      <c r="F43" s="13" t="s">
        <v>20</v>
      </c>
    </row>
    <row r="44" spans="1:12" x14ac:dyDescent="0.35">
      <c r="B44" s="13" t="s">
        <v>21</v>
      </c>
      <c r="C44" s="13">
        <v>1</v>
      </c>
      <c r="D44" s="13">
        <v>7</v>
      </c>
      <c r="E44" s="13">
        <v>5</v>
      </c>
      <c r="F44" s="13">
        <v>5</v>
      </c>
      <c r="H44" s="13" t="s">
        <v>103</v>
      </c>
      <c r="I44" s="13" t="s">
        <v>21</v>
      </c>
      <c r="J44" s="13" t="s">
        <v>22</v>
      </c>
      <c r="K44" s="13" t="s">
        <v>104</v>
      </c>
      <c r="L44" s="13" t="s">
        <v>20</v>
      </c>
    </row>
    <row r="45" spans="1:12" x14ac:dyDescent="0.35">
      <c r="B45" s="13" t="s">
        <v>22</v>
      </c>
      <c r="C45" s="13">
        <f>1/D44</f>
        <v>0.14285714285714285</v>
      </c>
      <c r="D45" s="13">
        <v>1</v>
      </c>
      <c r="E45" s="13">
        <v>1</v>
      </c>
      <c r="F45" s="13">
        <f>1/3</f>
        <v>0.33333333333333331</v>
      </c>
      <c r="H45" s="13" t="s">
        <v>21</v>
      </c>
      <c r="I45" s="13">
        <v>1</v>
      </c>
      <c r="J45" s="13">
        <f>GEOMEAN(D38,D44,D50)</f>
        <v>1.572564660105511</v>
      </c>
      <c r="K45" s="13">
        <f t="shared" ref="K45:L47" si="8">GEOMEAN(E38,E44,E50)</f>
        <v>2.924017738212866</v>
      </c>
      <c r="L45" s="13">
        <f t="shared" si="8"/>
        <v>5.5934447104069838</v>
      </c>
    </row>
    <row r="46" spans="1:12" x14ac:dyDescent="0.35">
      <c r="B46" s="13" t="s">
        <v>104</v>
      </c>
      <c r="C46" s="13">
        <f>1/E44</f>
        <v>0.2</v>
      </c>
      <c r="D46" s="13">
        <f>1/E45</f>
        <v>1</v>
      </c>
      <c r="E46" s="13">
        <v>1</v>
      </c>
      <c r="F46" s="13">
        <v>3</v>
      </c>
      <c r="H46" s="13" t="s">
        <v>22</v>
      </c>
      <c r="I46" s="13">
        <f>1/J45</f>
        <v>0.63590389976899597</v>
      </c>
      <c r="J46" s="13">
        <v>1</v>
      </c>
      <c r="K46" s="13">
        <f t="shared" si="8"/>
        <v>2.4662120743304699</v>
      </c>
      <c r="L46" s="13">
        <f t="shared" si="8"/>
        <v>1.9129311827723889</v>
      </c>
    </row>
    <row r="47" spans="1:12" x14ac:dyDescent="0.35">
      <c r="B47" s="13" t="s">
        <v>20</v>
      </c>
      <c r="C47" s="13">
        <f>1/F44</f>
        <v>0.2</v>
      </c>
      <c r="D47" s="13">
        <f>1/F45</f>
        <v>3</v>
      </c>
      <c r="E47" s="13">
        <f>1/F46</f>
        <v>0.33333333333333331</v>
      </c>
      <c r="F47" s="13">
        <v>1</v>
      </c>
      <c r="H47" s="13" t="s">
        <v>104</v>
      </c>
      <c r="I47" s="13">
        <f>1/K45</f>
        <v>0.3419951893353394</v>
      </c>
      <c r="J47" s="13">
        <f>1/K46</f>
        <v>0.40548013303822672</v>
      </c>
      <c r="K47" s="13">
        <v>1</v>
      </c>
      <c r="L47" s="13">
        <f t="shared" si="8"/>
        <v>1.6134286460245437</v>
      </c>
    </row>
    <row r="48" spans="1:12" x14ac:dyDescent="0.35">
      <c r="B48" s="99" t="s">
        <v>87</v>
      </c>
      <c r="C48" s="99"/>
      <c r="D48" s="99"/>
      <c r="E48" s="99"/>
      <c r="F48" s="99"/>
      <c r="H48" s="13" t="s">
        <v>20</v>
      </c>
      <c r="I48" s="13">
        <f>1/L45</f>
        <v>0.17878070701931353</v>
      </c>
      <c r="J48" s="13">
        <f>1/L46</f>
        <v>0.5227579585747103</v>
      </c>
      <c r="K48" s="13">
        <f>1/L47</f>
        <v>0.61979809424109344</v>
      </c>
      <c r="L48" s="13">
        <v>1</v>
      </c>
    </row>
    <row r="49" spans="1:19" x14ac:dyDescent="0.35">
      <c r="B49" s="13" t="s">
        <v>103</v>
      </c>
      <c r="C49" s="13" t="s">
        <v>21</v>
      </c>
      <c r="D49" s="13" t="s">
        <v>22</v>
      </c>
      <c r="E49" s="13" t="s">
        <v>104</v>
      </c>
      <c r="F49" s="13" t="s">
        <v>20</v>
      </c>
      <c r="H49" s="13" t="s">
        <v>88</v>
      </c>
      <c r="I49" s="13">
        <f>SUM(I45:I48)</f>
        <v>2.1566797961236492</v>
      </c>
      <c r="J49" s="13">
        <f t="shared" ref="J49:L49" si="9">SUM(J45:J48)</f>
        <v>3.5008027517184481</v>
      </c>
      <c r="K49" s="13">
        <f t="shared" si="9"/>
        <v>7.0100279067844289</v>
      </c>
      <c r="L49" s="13">
        <f t="shared" si="9"/>
        <v>10.119804539203916</v>
      </c>
    </row>
    <row r="50" spans="1:19" x14ac:dyDescent="0.35">
      <c r="B50" s="13" t="s">
        <v>21</v>
      </c>
      <c r="C50" s="13">
        <v>1</v>
      </c>
      <c r="D50" s="13">
        <v>5</v>
      </c>
      <c r="E50" s="13">
        <v>5</v>
      </c>
      <c r="F50" s="13">
        <v>5</v>
      </c>
    </row>
    <row r="51" spans="1:19" x14ac:dyDescent="0.35">
      <c r="B51" s="13" t="s">
        <v>22</v>
      </c>
      <c r="C51" s="13">
        <f>1/D50</f>
        <v>0.2</v>
      </c>
      <c r="D51" s="13">
        <v>1</v>
      </c>
      <c r="E51" s="13">
        <v>3</v>
      </c>
      <c r="F51" s="13">
        <v>3</v>
      </c>
      <c r="H51" t="s">
        <v>89</v>
      </c>
    </row>
    <row r="52" spans="1:19" x14ac:dyDescent="0.35">
      <c r="B52" s="13" t="s">
        <v>104</v>
      </c>
      <c r="C52" s="13">
        <f>1/E50</f>
        <v>0.2</v>
      </c>
      <c r="D52" s="13">
        <f>1/E51</f>
        <v>0.33333333333333331</v>
      </c>
      <c r="E52" s="13">
        <v>1</v>
      </c>
      <c r="F52" s="13">
        <f>1/5</f>
        <v>0.2</v>
      </c>
      <c r="H52" s="13" t="s">
        <v>103</v>
      </c>
      <c r="I52" s="13" t="s">
        <v>21</v>
      </c>
      <c r="J52" s="13" t="s">
        <v>22</v>
      </c>
      <c r="K52" s="13" t="s">
        <v>104</v>
      </c>
      <c r="L52" s="13" t="s">
        <v>20</v>
      </c>
      <c r="M52" s="13" t="s">
        <v>90</v>
      </c>
      <c r="N52" s="13" t="s">
        <v>91</v>
      </c>
      <c r="O52" s="13" t="s">
        <v>92</v>
      </c>
    </row>
    <row r="53" spans="1:19" x14ac:dyDescent="0.35">
      <c r="B53" s="13" t="s">
        <v>20</v>
      </c>
      <c r="C53" s="13">
        <f>1/F50</f>
        <v>0.2</v>
      </c>
      <c r="D53" s="13">
        <f>1/F51</f>
        <v>0.33333333333333331</v>
      </c>
      <c r="E53" s="13">
        <f>1/F52</f>
        <v>5</v>
      </c>
      <c r="F53" s="13">
        <v>1</v>
      </c>
      <c r="H53" s="13" t="s">
        <v>21</v>
      </c>
      <c r="I53" s="13">
        <f>I45/$I$49</f>
        <v>0.46367569344200732</v>
      </c>
      <c r="J53" s="13">
        <f>J45/$J$49</f>
        <v>0.44920116088619449</v>
      </c>
      <c r="K53" s="13">
        <f>K45/$K$49</f>
        <v>0.41711927214768291</v>
      </c>
      <c r="L53" s="13">
        <f>L45/$L$49</f>
        <v>0.55272260336038048</v>
      </c>
      <c r="M53" s="61">
        <f>SUM(I53:L53)/4</f>
        <v>0.47067968245906627</v>
      </c>
      <c r="N53" s="13">
        <f>MMULT(I45:L45,$M$53:$M$56)</f>
        <v>1.9194863764932466</v>
      </c>
      <c r="O53" s="13">
        <f>N53/M53</f>
        <v>4.0781160692233174</v>
      </c>
    </row>
    <row r="54" spans="1:19" x14ac:dyDescent="0.35">
      <c r="H54" s="13" t="s">
        <v>22</v>
      </c>
      <c r="I54" s="13">
        <f t="shared" ref="I54:I56" si="10">I46/$I$49</f>
        <v>0.2948531816878659</v>
      </c>
      <c r="J54" s="13">
        <f t="shared" ref="J54:J56" si="11">J46/$J$49</f>
        <v>0.28564876998829125</v>
      </c>
      <c r="K54" s="13">
        <f t="shared" ref="K54:K56" si="12">K46/$K$49</f>
        <v>0.35181201945624585</v>
      </c>
      <c r="L54" s="13">
        <f t="shared" ref="L54:L56" si="13">L46/$L$49</f>
        <v>0.189028471386155</v>
      </c>
      <c r="M54" s="61">
        <f t="shared" ref="M54:M56" si="14">SUM(I54:L54)/4</f>
        <v>0.28033561062963952</v>
      </c>
      <c r="N54" s="13">
        <f>MMULT(I46:L46,$M$53:$M$56)</f>
        <v>1.1356728454306744</v>
      </c>
      <c r="O54" s="13">
        <f t="shared" ref="O54:O56" si="15">N54/M54</f>
        <v>4.0511187389997652</v>
      </c>
    </row>
    <row r="55" spans="1:19" x14ac:dyDescent="0.35">
      <c r="H55" s="13" t="s">
        <v>104</v>
      </c>
      <c r="I55" s="13">
        <f t="shared" si="10"/>
        <v>0.15857485656889408</v>
      </c>
      <c r="J55" s="13">
        <f t="shared" si="11"/>
        <v>0.11582490125705815</v>
      </c>
      <c r="K55" s="13">
        <f t="shared" si="12"/>
        <v>0.14265278445356577</v>
      </c>
      <c r="L55" s="13">
        <f t="shared" si="13"/>
        <v>0.15943278743914016</v>
      </c>
      <c r="M55" s="61">
        <f t="shared" si="14"/>
        <v>0.14412133242966454</v>
      </c>
      <c r="N55" s="13">
        <f t="shared" ref="N55:N56" si="16">MMULT(I47:L47,$M$53:$M$56)</f>
        <v>0.58795161254946959</v>
      </c>
      <c r="O55" s="13">
        <f t="shared" si="15"/>
        <v>4.0795599279961365</v>
      </c>
    </row>
    <row r="56" spans="1:19" x14ac:dyDescent="0.35">
      <c r="H56" s="13" t="s">
        <v>20</v>
      </c>
      <c r="I56" s="13">
        <f t="shared" si="10"/>
        <v>8.2896268301232548E-2</v>
      </c>
      <c r="J56" s="13">
        <f t="shared" si="11"/>
        <v>0.14932516786845609</v>
      </c>
      <c r="K56" s="13">
        <f t="shared" si="12"/>
        <v>8.8415923942505553E-2</v>
      </c>
      <c r="L56" s="13">
        <f t="shared" si="13"/>
        <v>9.8816137814324426E-2</v>
      </c>
      <c r="M56" s="61">
        <f t="shared" si="14"/>
        <v>0.10486337448162966</v>
      </c>
      <c r="N56" s="13">
        <f t="shared" si="16"/>
        <v>0.42488561959922588</v>
      </c>
      <c r="O56" s="13">
        <f t="shared" si="15"/>
        <v>4.0518018965111491</v>
      </c>
    </row>
    <row r="57" spans="1:19" x14ac:dyDescent="0.35">
      <c r="H57" s="13" t="s">
        <v>88</v>
      </c>
      <c r="I57" s="13">
        <f>SUM(I53:I56)</f>
        <v>0.99999999999999989</v>
      </c>
      <c r="J57" s="13">
        <f t="shared" ref="J57" si="17">SUM(J53:J56)</f>
        <v>1</v>
      </c>
      <c r="K57" s="13">
        <f>SUM(K53:K56)</f>
        <v>1.0000000000000002</v>
      </c>
      <c r="L57" s="13">
        <f t="shared" ref="L57" si="18">SUM(L53:L56)</f>
        <v>1</v>
      </c>
    </row>
    <row r="58" spans="1:19" x14ac:dyDescent="0.35">
      <c r="O58" s="13" t="s">
        <v>93</v>
      </c>
      <c r="P58" s="13">
        <f>AVERAGE(O53:O56)</f>
        <v>4.0651491581825923</v>
      </c>
      <c r="Q58" s="100" t="s">
        <v>122</v>
      </c>
      <c r="R58" s="101"/>
      <c r="S58" s="102"/>
    </row>
    <row r="59" spans="1:19" x14ac:dyDescent="0.35">
      <c r="O59" s="13" t="s">
        <v>94</v>
      </c>
      <c r="P59" s="13">
        <v>4</v>
      </c>
      <c r="Q59" s="103" t="str">
        <f>IF(P62&lt;=0.1,"Konsisten","Tidak Konsisten")</f>
        <v>Konsisten</v>
      </c>
      <c r="R59" s="104"/>
      <c r="S59" s="105"/>
    </row>
    <row r="60" spans="1:19" x14ac:dyDescent="0.35">
      <c r="O60" s="13" t="s">
        <v>95</v>
      </c>
      <c r="P60" s="13">
        <f>(P58-P59)/(P59-1)</f>
        <v>2.1716386060864085E-2</v>
      </c>
      <c r="Q60" s="57" t="s">
        <v>100</v>
      </c>
      <c r="R60" s="58"/>
      <c r="S60" s="59"/>
    </row>
    <row r="61" spans="1:19" x14ac:dyDescent="0.35">
      <c r="O61" s="13" t="s">
        <v>98</v>
      </c>
      <c r="P61" s="13">
        <f>$E$2</f>
        <v>0.9</v>
      </c>
    </row>
    <row r="62" spans="1:19" x14ac:dyDescent="0.35">
      <c r="O62" s="13" t="s">
        <v>99</v>
      </c>
      <c r="P62" s="13">
        <f>P60/P61</f>
        <v>2.4129317845404539E-2</v>
      </c>
    </row>
    <row r="64" spans="1:19" x14ac:dyDescent="0.35">
      <c r="A64" s="4" t="s">
        <v>83</v>
      </c>
    </row>
    <row r="65" spans="2:13" x14ac:dyDescent="0.35">
      <c r="B65" s="99" t="s">
        <v>81</v>
      </c>
      <c r="C65" s="99"/>
      <c r="D65" s="99"/>
      <c r="E65" s="99"/>
    </row>
    <row r="66" spans="2:13" x14ac:dyDescent="0.35">
      <c r="B66" s="13" t="s">
        <v>103</v>
      </c>
      <c r="C66" s="13" t="s">
        <v>56</v>
      </c>
      <c r="D66" s="13" t="s">
        <v>105</v>
      </c>
      <c r="E66" s="13" t="s">
        <v>42</v>
      </c>
    </row>
    <row r="67" spans="2:13" x14ac:dyDescent="0.35">
      <c r="B67" s="13" t="s">
        <v>56</v>
      </c>
      <c r="C67" s="13">
        <v>1</v>
      </c>
      <c r="D67" s="13">
        <f>1/7</f>
        <v>0.14285714285714285</v>
      </c>
      <c r="E67" s="13">
        <f>1/7</f>
        <v>0.14285714285714285</v>
      </c>
    </row>
    <row r="68" spans="2:13" x14ac:dyDescent="0.35">
      <c r="B68" s="13" t="s">
        <v>105</v>
      </c>
      <c r="C68" s="13">
        <f>1/D67</f>
        <v>7</v>
      </c>
      <c r="D68" s="13">
        <v>1</v>
      </c>
      <c r="E68" s="13">
        <v>7</v>
      </c>
    </row>
    <row r="69" spans="2:13" x14ac:dyDescent="0.35">
      <c r="B69" s="13" t="s">
        <v>42</v>
      </c>
      <c r="C69" s="13">
        <f>1/E67</f>
        <v>7</v>
      </c>
      <c r="D69" s="13">
        <f>1/E68</f>
        <v>0.14285714285714285</v>
      </c>
      <c r="E69" s="13">
        <v>1</v>
      </c>
    </row>
    <row r="70" spans="2:13" x14ac:dyDescent="0.35">
      <c r="B70" s="99" t="s">
        <v>86</v>
      </c>
      <c r="C70" s="99"/>
      <c r="D70" s="99"/>
      <c r="E70" s="99"/>
    </row>
    <row r="71" spans="2:13" x14ac:dyDescent="0.35">
      <c r="B71" s="13" t="s">
        <v>103</v>
      </c>
      <c r="C71" s="13" t="s">
        <v>56</v>
      </c>
      <c r="D71" s="13" t="s">
        <v>105</v>
      </c>
      <c r="E71" s="13" t="s">
        <v>42</v>
      </c>
    </row>
    <row r="72" spans="2:13" x14ac:dyDescent="0.35">
      <c r="B72" s="13" t="s">
        <v>56</v>
      </c>
      <c r="C72" s="13">
        <v>1</v>
      </c>
      <c r="D72" s="13">
        <v>1</v>
      </c>
      <c r="E72" s="13">
        <v>3</v>
      </c>
      <c r="G72" s="13" t="s">
        <v>103</v>
      </c>
      <c r="H72" s="13" t="s">
        <v>56</v>
      </c>
      <c r="I72" s="13" t="s">
        <v>105</v>
      </c>
      <c r="J72" s="13" t="s">
        <v>42</v>
      </c>
    </row>
    <row r="73" spans="2:13" x14ac:dyDescent="0.35">
      <c r="B73" s="13" t="s">
        <v>105</v>
      </c>
      <c r="C73" s="13">
        <f>1/D72</f>
        <v>1</v>
      </c>
      <c r="D73" s="13">
        <v>1</v>
      </c>
      <c r="E73" s="13">
        <v>1</v>
      </c>
      <c r="G73" s="13" t="s">
        <v>56</v>
      </c>
      <c r="H73" s="13">
        <v>1</v>
      </c>
      <c r="I73" s="13">
        <f>GEOMEAN(D67,D72,D77)</f>
        <v>0.2732758832531984</v>
      </c>
      <c r="J73" s="13">
        <f>GEOMEAN(E67,E72,E77)</f>
        <v>0.52275795857471019</v>
      </c>
    </row>
    <row r="74" spans="2:13" x14ac:dyDescent="0.35">
      <c r="B74" s="13" t="s">
        <v>42</v>
      </c>
      <c r="C74" s="13">
        <f>1/E72</f>
        <v>0.33333333333333331</v>
      </c>
      <c r="D74" s="13">
        <f>1/E73</f>
        <v>1</v>
      </c>
      <c r="E74" s="13">
        <v>1</v>
      </c>
      <c r="G74" s="13" t="s">
        <v>105</v>
      </c>
      <c r="H74" s="13">
        <f>1/I73</f>
        <v>3.6593057100229722</v>
      </c>
      <c r="I74" s="13">
        <v>1</v>
      </c>
      <c r="J74" s="13">
        <f>GEOMEAN(E68,E73,E78)</f>
        <v>2.7589241763811208</v>
      </c>
    </row>
    <row r="75" spans="2:13" x14ac:dyDescent="0.35">
      <c r="B75" s="99" t="s">
        <v>87</v>
      </c>
      <c r="C75" s="99"/>
      <c r="D75" s="99"/>
      <c r="E75" s="99"/>
      <c r="G75" s="13" t="s">
        <v>42</v>
      </c>
      <c r="H75" s="13">
        <f>1/J73</f>
        <v>1.9129311827723892</v>
      </c>
      <c r="I75" s="13">
        <f>1/J74</f>
        <v>0.36246012433429736</v>
      </c>
      <c r="J75" s="13">
        <v>1</v>
      </c>
    </row>
    <row r="76" spans="2:13" x14ac:dyDescent="0.35">
      <c r="B76" s="13" t="s">
        <v>103</v>
      </c>
      <c r="C76" s="13" t="s">
        <v>56</v>
      </c>
      <c r="D76" s="13" t="s">
        <v>105</v>
      </c>
      <c r="E76" s="13" t="s">
        <v>42</v>
      </c>
      <c r="G76" s="13" t="s">
        <v>88</v>
      </c>
      <c r="H76" s="13">
        <f>SUM(H73:H75)</f>
        <v>6.5722368927953614</v>
      </c>
      <c r="I76" s="13">
        <f>SUM(I73:I75)</f>
        <v>1.6357360075874958</v>
      </c>
      <c r="J76" s="13">
        <f>SUM(J73:J75)</f>
        <v>4.2816821349558314</v>
      </c>
    </row>
    <row r="77" spans="2:13" x14ac:dyDescent="0.35">
      <c r="B77" s="13" t="s">
        <v>56</v>
      </c>
      <c r="C77" s="13">
        <v>1</v>
      </c>
      <c r="D77" s="13">
        <f>1/7</f>
        <v>0.14285714285714285</v>
      </c>
      <c r="E77" s="13">
        <f>1/3</f>
        <v>0.33333333333333331</v>
      </c>
    </row>
    <row r="78" spans="2:13" x14ac:dyDescent="0.35">
      <c r="B78" s="13" t="s">
        <v>105</v>
      </c>
      <c r="C78" s="13">
        <f>1/D77</f>
        <v>7</v>
      </c>
      <c r="D78" s="13">
        <v>1</v>
      </c>
      <c r="E78" s="13">
        <v>3</v>
      </c>
      <c r="G78" t="s">
        <v>89</v>
      </c>
    </row>
    <row r="79" spans="2:13" x14ac:dyDescent="0.35">
      <c r="B79" s="13" t="s">
        <v>42</v>
      </c>
      <c r="C79" s="13">
        <f>1/E77</f>
        <v>3</v>
      </c>
      <c r="D79" s="13">
        <f>1/E78</f>
        <v>0.33333333333333331</v>
      </c>
      <c r="E79" s="13">
        <v>1</v>
      </c>
      <c r="G79" s="13" t="s">
        <v>103</v>
      </c>
      <c r="H79" s="13" t="s">
        <v>56</v>
      </c>
      <c r="I79" s="13" t="s">
        <v>105</v>
      </c>
      <c r="J79" s="13" t="s">
        <v>42</v>
      </c>
      <c r="K79" s="13" t="s">
        <v>90</v>
      </c>
      <c r="L79" s="13" t="s">
        <v>91</v>
      </c>
      <c r="M79" s="13" t="s">
        <v>92</v>
      </c>
    </row>
    <row r="80" spans="2:13" x14ac:dyDescent="0.35">
      <c r="G80" s="13" t="s">
        <v>56</v>
      </c>
      <c r="H80" s="13">
        <f>H73/$H$76</f>
        <v>0.15215519712873149</v>
      </c>
      <c r="I80" s="13">
        <f>I73/$I$76</f>
        <v>0.16706600697520002</v>
      </c>
      <c r="J80" s="13">
        <f>J73/$J$76</f>
        <v>0.12209172519064235</v>
      </c>
      <c r="K80" s="61">
        <f>SUM(H80:J80)/3</f>
        <v>0.14710430976485797</v>
      </c>
      <c r="L80" s="13">
        <f>MMULT(H73:J73,$K$80:$K$82)</f>
        <v>0.44223496446972338</v>
      </c>
      <c r="M80" s="13">
        <f>L80/K80</f>
        <v>3.0062679004892741</v>
      </c>
    </row>
    <row r="81" spans="1:18" x14ac:dyDescent="0.35">
      <c r="G81" s="13" t="s">
        <v>105</v>
      </c>
      <c r="H81" s="13">
        <f t="shared" ref="H81:H82" si="19">H74/$H$76</f>
        <v>0.55678238166283811</v>
      </c>
      <c r="I81" s="13">
        <f t="shared" ref="I81:I82" si="20">I74/$I$76</f>
        <v>0.61134559327508708</v>
      </c>
      <c r="J81" s="13">
        <f t="shared" ref="J81:J82" si="21">J74/$J$76</f>
        <v>0.6443552065337006</v>
      </c>
      <c r="K81" s="61">
        <f>SUM(H81:J81)/3</f>
        <v>0.60416106049054197</v>
      </c>
      <c r="L81" s="13">
        <f>MMULT(H74:J74,$K$80:$K$82)</f>
        <v>1.8287006846876588</v>
      </c>
      <c r="M81" s="13">
        <f t="shared" ref="M81:M82" si="22">L81/K81</f>
        <v>3.0268430130251449</v>
      </c>
    </row>
    <row r="82" spans="1:18" x14ac:dyDescent="0.35">
      <c r="G82" s="13" t="s">
        <v>42</v>
      </c>
      <c r="H82" s="13">
        <f t="shared" si="19"/>
        <v>0.2910624212084304</v>
      </c>
      <c r="I82" s="13">
        <f t="shared" si="20"/>
        <v>0.22158839974971287</v>
      </c>
      <c r="J82" s="13">
        <f t="shared" si="21"/>
        <v>0.23355306827565697</v>
      </c>
      <c r="K82" s="61">
        <f>SUM(H82:J82)/3</f>
        <v>0.24873462974460012</v>
      </c>
      <c r="L82" s="13">
        <f>MMULT(H75:J75,$K$80:$K$82)</f>
        <v>0.7491193441173486</v>
      </c>
      <c r="M82" s="13">
        <f t="shared" si="22"/>
        <v>3.0117211458916753</v>
      </c>
    </row>
    <row r="83" spans="1:18" x14ac:dyDescent="0.35">
      <c r="G83" s="13" t="s">
        <v>88</v>
      </c>
      <c r="H83" s="13">
        <f>SUM(H80:H82)</f>
        <v>1</v>
      </c>
      <c r="I83" s="13">
        <f>SUM(I80:I82)</f>
        <v>1</v>
      </c>
      <c r="J83" s="13">
        <f>SUM(J80:J82)</f>
        <v>1</v>
      </c>
      <c r="N83" s="13" t="s">
        <v>93</v>
      </c>
      <c r="O83" s="13">
        <f>AVERAGE(M80:M82)</f>
        <v>3.0149440198020314</v>
      </c>
      <c r="P83" s="100" t="s">
        <v>122</v>
      </c>
      <c r="Q83" s="101"/>
      <c r="R83" s="102"/>
    </row>
    <row r="84" spans="1:18" x14ac:dyDescent="0.35">
      <c r="N84" s="13" t="s">
        <v>94</v>
      </c>
      <c r="O84" s="13">
        <v>3</v>
      </c>
      <c r="P84" s="103" t="str">
        <f>IF(O87&lt;=0.1,"Konsisten","Tidak Konsisten")</f>
        <v>Konsisten</v>
      </c>
      <c r="Q84" s="104"/>
      <c r="R84" s="105"/>
    </row>
    <row r="85" spans="1:18" x14ac:dyDescent="0.35">
      <c r="N85" s="13" t="s">
        <v>95</v>
      </c>
      <c r="O85" s="13">
        <f>(O83-O84)/(O84-1)</f>
        <v>7.4720099010157082E-3</v>
      </c>
      <c r="P85" s="57" t="s">
        <v>100</v>
      </c>
      <c r="Q85" s="58"/>
      <c r="R85" s="59"/>
    </row>
    <row r="86" spans="1:18" x14ac:dyDescent="0.35">
      <c r="N86" s="13" t="s">
        <v>98</v>
      </c>
      <c r="O86" s="13">
        <f>$D$2</f>
        <v>0.57999999999999996</v>
      </c>
    </row>
    <row r="87" spans="1:18" x14ac:dyDescent="0.35">
      <c r="N87" s="13" t="s">
        <v>99</v>
      </c>
      <c r="O87" s="13">
        <f>O85/O86</f>
        <v>1.2882775691406395E-2</v>
      </c>
    </row>
    <row r="89" spans="1:18" x14ac:dyDescent="0.35">
      <c r="A89" s="4" t="s">
        <v>85</v>
      </c>
    </row>
    <row r="90" spans="1:18" x14ac:dyDescent="0.35">
      <c r="B90" s="99" t="s">
        <v>81</v>
      </c>
      <c r="C90" s="99"/>
      <c r="D90" s="99"/>
      <c r="E90" s="99"/>
    </row>
    <row r="91" spans="1:18" x14ac:dyDescent="0.35">
      <c r="B91" s="13" t="s">
        <v>103</v>
      </c>
      <c r="C91" s="13" t="s">
        <v>106</v>
      </c>
      <c r="D91" s="13" t="s">
        <v>29</v>
      </c>
      <c r="E91" s="13" t="s">
        <v>107</v>
      </c>
    </row>
    <row r="92" spans="1:18" x14ac:dyDescent="0.35">
      <c r="B92" s="13" t="s">
        <v>106</v>
      </c>
      <c r="C92" s="13">
        <v>1</v>
      </c>
      <c r="D92" s="13">
        <v>7</v>
      </c>
      <c r="E92" s="13">
        <v>7</v>
      </c>
    </row>
    <row r="93" spans="1:18" x14ac:dyDescent="0.35">
      <c r="B93" s="13" t="s">
        <v>29</v>
      </c>
      <c r="C93" s="13">
        <f>1/D92</f>
        <v>0.14285714285714285</v>
      </c>
      <c r="D93" s="13">
        <v>1</v>
      </c>
      <c r="E93" s="13">
        <v>1</v>
      </c>
    </row>
    <row r="94" spans="1:18" x14ac:dyDescent="0.35">
      <c r="B94" s="13" t="s">
        <v>107</v>
      </c>
      <c r="C94" s="13">
        <f>1/E92</f>
        <v>0.14285714285714285</v>
      </c>
      <c r="D94" s="13">
        <f>1/E93</f>
        <v>1</v>
      </c>
      <c r="E94" s="13">
        <v>1</v>
      </c>
    </row>
    <row r="95" spans="1:18" x14ac:dyDescent="0.35">
      <c r="B95" s="99" t="s">
        <v>86</v>
      </c>
      <c r="C95" s="99"/>
      <c r="D95" s="99"/>
      <c r="E95" s="99"/>
    </row>
    <row r="96" spans="1:18" x14ac:dyDescent="0.35">
      <c r="B96" s="13" t="s">
        <v>103</v>
      </c>
      <c r="C96" s="13" t="s">
        <v>106</v>
      </c>
      <c r="D96" s="13" t="s">
        <v>29</v>
      </c>
      <c r="E96" s="13" t="s">
        <v>107</v>
      </c>
    </row>
    <row r="97" spans="2:18" x14ac:dyDescent="0.35">
      <c r="B97" s="13" t="s">
        <v>106</v>
      </c>
      <c r="C97" s="13">
        <v>1</v>
      </c>
      <c r="D97" s="13">
        <v>7</v>
      </c>
      <c r="E97" s="69">
        <v>5</v>
      </c>
      <c r="G97" s="13" t="s">
        <v>103</v>
      </c>
      <c r="H97" s="13" t="s">
        <v>106</v>
      </c>
      <c r="I97" s="13" t="s">
        <v>29</v>
      </c>
      <c r="J97" s="13" t="s">
        <v>107</v>
      </c>
    </row>
    <row r="98" spans="2:18" x14ac:dyDescent="0.35">
      <c r="B98" s="13" t="s">
        <v>29</v>
      </c>
      <c r="C98" s="13">
        <f>1/D97</f>
        <v>0.14285714285714285</v>
      </c>
      <c r="D98" s="13">
        <v>1</v>
      </c>
      <c r="E98" s="69">
        <v>3</v>
      </c>
      <c r="G98" s="13" t="s">
        <v>106</v>
      </c>
      <c r="H98" s="13">
        <v>1</v>
      </c>
      <c r="I98" s="13">
        <f>GEOMEAN(D92,D97,D102)</f>
        <v>7</v>
      </c>
      <c r="J98" s="13">
        <f>GEOMEAN(E92,E97,E102)</f>
        <v>5.5934447104069838</v>
      </c>
    </row>
    <row r="99" spans="2:18" x14ac:dyDescent="0.35">
      <c r="B99" s="13" t="s">
        <v>107</v>
      </c>
      <c r="C99" s="13">
        <f>1/E97</f>
        <v>0.2</v>
      </c>
      <c r="D99" s="13">
        <f>1/E98</f>
        <v>0.33333333333333331</v>
      </c>
      <c r="E99" s="13">
        <v>1</v>
      </c>
      <c r="G99" s="13" t="s">
        <v>29</v>
      </c>
      <c r="H99" s="13">
        <f>1/I98</f>
        <v>0.14285714285714285</v>
      </c>
      <c r="I99" s="13">
        <v>1</v>
      </c>
      <c r="J99" s="13">
        <f>GEOMEAN(E93,E98,E103)</f>
        <v>2.0800838230519041</v>
      </c>
    </row>
    <row r="100" spans="2:18" x14ac:dyDescent="0.35">
      <c r="B100" s="99" t="s">
        <v>87</v>
      </c>
      <c r="C100" s="99"/>
      <c r="D100" s="99"/>
      <c r="E100" s="99"/>
      <c r="G100" s="13" t="s">
        <v>107</v>
      </c>
      <c r="H100" s="13">
        <f>1/J98</f>
        <v>0.17878070701931353</v>
      </c>
      <c r="I100" s="13">
        <f>1/J99</f>
        <v>0.48074985676913612</v>
      </c>
      <c r="J100" s="13">
        <v>1</v>
      </c>
    </row>
    <row r="101" spans="2:18" x14ac:dyDescent="0.35">
      <c r="B101" s="13" t="s">
        <v>103</v>
      </c>
      <c r="C101" s="13" t="s">
        <v>106</v>
      </c>
      <c r="D101" s="13" t="s">
        <v>29</v>
      </c>
      <c r="E101" s="13" t="s">
        <v>107</v>
      </c>
      <c r="G101" s="13" t="s">
        <v>88</v>
      </c>
      <c r="H101" s="13">
        <f>SUM(H98:H100)</f>
        <v>1.3216378498764563</v>
      </c>
      <c r="I101" s="13">
        <f>SUM(I98:I100)</f>
        <v>8.4807498567691368</v>
      </c>
      <c r="J101" s="13">
        <f>SUM(J98:J100)</f>
        <v>8.6735285334588887</v>
      </c>
    </row>
    <row r="102" spans="2:18" x14ac:dyDescent="0.35">
      <c r="B102" s="13" t="s">
        <v>106</v>
      </c>
      <c r="C102" s="13">
        <v>1</v>
      </c>
      <c r="D102" s="13">
        <v>7</v>
      </c>
      <c r="E102" s="13">
        <v>5</v>
      </c>
    </row>
    <row r="103" spans="2:18" x14ac:dyDescent="0.35">
      <c r="B103" s="13" t="s">
        <v>29</v>
      </c>
      <c r="C103" s="13">
        <f>1/D102</f>
        <v>0.14285714285714285</v>
      </c>
      <c r="D103" s="13">
        <v>1</v>
      </c>
      <c r="E103" s="69">
        <v>3</v>
      </c>
      <c r="G103" t="s">
        <v>89</v>
      </c>
    </row>
    <row r="104" spans="2:18" x14ac:dyDescent="0.35">
      <c r="B104" s="13" t="s">
        <v>107</v>
      </c>
      <c r="C104" s="13">
        <f>1/E102</f>
        <v>0.2</v>
      </c>
      <c r="D104" s="13">
        <f>1/E103</f>
        <v>0.33333333333333331</v>
      </c>
      <c r="E104" s="13">
        <v>1</v>
      </c>
      <c r="G104" s="13" t="s">
        <v>103</v>
      </c>
      <c r="H104" s="13" t="s">
        <v>106</v>
      </c>
      <c r="I104" s="13" t="s">
        <v>29</v>
      </c>
      <c r="J104" s="13" t="s">
        <v>107</v>
      </c>
      <c r="K104" s="13" t="s">
        <v>90</v>
      </c>
      <c r="L104" s="13" t="s">
        <v>91</v>
      </c>
      <c r="M104" s="13" t="s">
        <v>92</v>
      </c>
    </row>
    <row r="105" spans="2:18" x14ac:dyDescent="0.35">
      <c r="G105" s="13" t="s">
        <v>106</v>
      </c>
      <c r="H105" s="13">
        <f>H98/$H$101</f>
        <v>0.75663692598806687</v>
      </c>
      <c r="I105" s="13">
        <f>I98/$I$101</f>
        <v>0.8253987109893075</v>
      </c>
      <c r="J105" s="13">
        <f>J98/$J$101</f>
        <v>0.64488687491253249</v>
      </c>
      <c r="K105" s="61">
        <f>SUM(H105:J105)/3</f>
        <v>0.74230750396330214</v>
      </c>
      <c r="L105" s="13">
        <f>MMULT(H98:J98,$K$105:$K$107)</f>
        <v>2.4020990513361093</v>
      </c>
      <c r="M105" s="13">
        <f>L105/K105</f>
        <v>3.2359891803745842</v>
      </c>
    </row>
    <row r="106" spans="2:18" x14ac:dyDescent="0.35">
      <c r="G106" s="13" t="s">
        <v>29</v>
      </c>
      <c r="H106" s="13">
        <f t="shared" ref="H106:H107" si="23">H99/$H$101</f>
        <v>0.10809098942686668</v>
      </c>
      <c r="I106" s="13">
        <f t="shared" ref="I106:I107" si="24">I99/$I$101</f>
        <v>0.11791410156990108</v>
      </c>
      <c r="J106" s="13">
        <f t="shared" ref="J106:J107" si="25">J99/$J$101</f>
        <v>0.23981979364312925</v>
      </c>
      <c r="K106" s="61">
        <f>SUM(H106:J106)/3</f>
        <v>0.15527496154663234</v>
      </c>
      <c r="L106" s="13">
        <f t="shared" ref="L106:L107" si="26">MMULT(H99:J99,$K$105:$K$107)</f>
        <v>0.47435594737389231</v>
      </c>
      <c r="M106" s="13">
        <f t="shared" ref="M106:M107" si="27">L106/K106</f>
        <v>3.0549416509205396</v>
      </c>
    </row>
    <row r="107" spans="2:18" x14ac:dyDescent="0.35">
      <c r="G107" s="13" t="s">
        <v>107</v>
      </c>
      <c r="H107" s="13">
        <f t="shared" si="23"/>
        <v>0.13527208458506659</v>
      </c>
      <c r="I107" s="13">
        <f t="shared" si="24"/>
        <v>5.6687187440791313E-2</v>
      </c>
      <c r="J107" s="13">
        <f t="shared" si="25"/>
        <v>0.11529333144433816</v>
      </c>
      <c r="K107" s="61">
        <f>SUM(H107:J107)/3</f>
        <v>0.10241753449006535</v>
      </c>
      <c r="L107" s="13">
        <f t="shared" si="26"/>
        <v>0.309776210397743</v>
      </c>
      <c r="M107" s="13">
        <f t="shared" si="27"/>
        <v>3.0246403796001529</v>
      </c>
    </row>
    <row r="108" spans="2:18" x14ac:dyDescent="0.35">
      <c r="G108" s="13" t="s">
        <v>88</v>
      </c>
      <c r="H108" s="13">
        <f>SUM(H105:H107)</f>
        <v>1.0000000000000002</v>
      </c>
      <c r="I108" s="13">
        <f>SUM(I105:I107)</f>
        <v>0.99999999999999989</v>
      </c>
      <c r="J108" s="13">
        <f>SUM(J105:J107)</f>
        <v>0.99999999999999989</v>
      </c>
      <c r="N108" s="13" t="s">
        <v>93</v>
      </c>
      <c r="O108" s="13">
        <f>AVERAGE(M105:M107)</f>
        <v>3.105190403631759</v>
      </c>
      <c r="P108" s="100" t="s">
        <v>122</v>
      </c>
      <c r="Q108" s="101"/>
      <c r="R108" s="102"/>
    </row>
    <row r="109" spans="2:18" x14ac:dyDescent="0.35">
      <c r="N109" s="13" t="s">
        <v>94</v>
      </c>
      <c r="O109" s="13">
        <v>3</v>
      </c>
      <c r="P109" s="103" t="str">
        <f>IF(O112&lt;=0.1,"Konsisten","Tidak Konsisten")</f>
        <v>Konsisten</v>
      </c>
      <c r="Q109" s="104"/>
      <c r="R109" s="105"/>
    </row>
    <row r="110" spans="2:18" x14ac:dyDescent="0.35">
      <c r="N110" s="13" t="s">
        <v>95</v>
      </c>
      <c r="O110" s="13">
        <f>(O108-O109)/(O109-1)</f>
        <v>5.2595201815879511E-2</v>
      </c>
      <c r="P110" s="57" t="s">
        <v>100</v>
      </c>
      <c r="Q110" s="58"/>
      <c r="R110" s="59"/>
    </row>
    <row r="111" spans="2:18" x14ac:dyDescent="0.35">
      <c r="N111" s="13" t="s">
        <v>98</v>
      </c>
      <c r="O111" s="13">
        <f>$D$2</f>
        <v>0.57999999999999996</v>
      </c>
    </row>
    <row r="112" spans="2:18" x14ac:dyDescent="0.35">
      <c r="N112" s="13" t="s">
        <v>99</v>
      </c>
      <c r="O112" s="13">
        <f>O110/O111</f>
        <v>9.0681382441171576E-2</v>
      </c>
    </row>
    <row r="114" spans="1:23" x14ac:dyDescent="0.35">
      <c r="A114" s="4" t="s">
        <v>84</v>
      </c>
      <c r="W114" s="2">
        <v>0.19409999999999999</v>
      </c>
    </row>
    <row r="115" spans="1:23" x14ac:dyDescent="0.35">
      <c r="B115" s="99" t="s">
        <v>81</v>
      </c>
      <c r="C115" s="99"/>
      <c r="D115" s="99"/>
      <c r="E115" s="99"/>
      <c r="W115" s="2">
        <v>0.15670000000000001</v>
      </c>
    </row>
    <row r="116" spans="1:23" x14ac:dyDescent="0.35">
      <c r="B116" s="13" t="s">
        <v>103</v>
      </c>
      <c r="C116" s="13" t="s">
        <v>30</v>
      </c>
      <c r="D116" s="13" t="s">
        <v>108</v>
      </c>
      <c r="E116" s="13" t="s">
        <v>109</v>
      </c>
      <c r="W116" s="2">
        <v>6.5500000000000003E-2</v>
      </c>
    </row>
    <row r="117" spans="1:23" x14ac:dyDescent="0.35">
      <c r="B117" s="13" t="s">
        <v>30</v>
      </c>
      <c r="C117" s="13">
        <v>1</v>
      </c>
      <c r="D117" s="13">
        <v>1</v>
      </c>
      <c r="E117" s="13">
        <v>1</v>
      </c>
      <c r="W117" s="2">
        <v>3.3099999999999997E-2</v>
      </c>
    </row>
    <row r="118" spans="1:23" x14ac:dyDescent="0.35">
      <c r="B118" s="13" t="s">
        <v>108</v>
      </c>
      <c r="C118" s="13">
        <f>1/D117</f>
        <v>1</v>
      </c>
      <c r="D118" s="13">
        <v>1</v>
      </c>
      <c r="E118" s="13">
        <v>1</v>
      </c>
      <c r="W118" s="2">
        <v>9.1000000000000004E-3</v>
      </c>
    </row>
    <row r="119" spans="1:23" x14ac:dyDescent="0.35">
      <c r="B119" s="13" t="s">
        <v>109</v>
      </c>
      <c r="C119" s="13">
        <f>1/E117</f>
        <v>1</v>
      </c>
      <c r="D119" s="13">
        <f>1/E118</f>
        <v>1</v>
      </c>
      <c r="E119" s="13">
        <v>1</v>
      </c>
      <c r="W119" s="2">
        <v>5.28E-2</v>
      </c>
    </row>
    <row r="120" spans="1:23" x14ac:dyDescent="0.35">
      <c r="B120" s="99" t="s">
        <v>86</v>
      </c>
      <c r="C120" s="99"/>
      <c r="D120" s="99"/>
      <c r="E120" s="99"/>
      <c r="W120" s="2">
        <v>5.8299999999999998E-2</v>
      </c>
    </row>
    <row r="121" spans="1:23" x14ac:dyDescent="0.35">
      <c r="B121" s="13" t="s">
        <v>103</v>
      </c>
      <c r="C121" s="13" t="s">
        <v>30</v>
      </c>
      <c r="D121" s="13" t="s">
        <v>108</v>
      </c>
      <c r="E121" s="13" t="s">
        <v>109</v>
      </c>
      <c r="W121" s="2">
        <v>1.7100000000000001E-2</v>
      </c>
    </row>
    <row r="122" spans="1:23" x14ac:dyDescent="0.35">
      <c r="B122" s="13" t="s">
        <v>30</v>
      </c>
      <c r="C122" s="13">
        <v>1</v>
      </c>
      <c r="D122" s="13">
        <v>3</v>
      </c>
      <c r="E122" s="13">
        <v>1</v>
      </c>
      <c r="G122" s="13" t="s">
        <v>103</v>
      </c>
      <c r="H122" s="13" t="s">
        <v>30</v>
      </c>
      <c r="I122" s="13" t="s">
        <v>108</v>
      </c>
      <c r="J122" s="13" t="s">
        <v>109</v>
      </c>
      <c r="W122" s="2">
        <v>3.3399999999999999E-2</v>
      </c>
    </row>
    <row r="123" spans="1:23" x14ac:dyDescent="0.35">
      <c r="B123" s="13" t="s">
        <v>108</v>
      </c>
      <c r="C123" s="13">
        <f>1/D122</f>
        <v>0.33333333333333331</v>
      </c>
      <c r="D123" s="13">
        <v>1</v>
      </c>
      <c r="E123" s="13">
        <v>1</v>
      </c>
      <c r="G123" s="13" t="s">
        <v>30</v>
      </c>
      <c r="H123" s="13">
        <v>1</v>
      </c>
      <c r="I123" s="13">
        <f>GEOMEAN(D117,D122,D127)</f>
        <v>2.4662120743304699</v>
      </c>
      <c r="J123" s="13">
        <f>GEOMEAN(E117,E122,E127)</f>
        <v>1.7099759466766968</v>
      </c>
      <c r="W123" s="2">
        <v>0.113</v>
      </c>
    </row>
    <row r="124" spans="1:23" x14ac:dyDescent="0.35">
      <c r="B124" s="13" t="s">
        <v>109</v>
      </c>
      <c r="C124" s="13">
        <f>1/E122</f>
        <v>1</v>
      </c>
      <c r="D124" s="13">
        <f>1/E123</f>
        <v>1</v>
      </c>
      <c r="E124" s="13">
        <v>1</v>
      </c>
      <c r="G124" s="13" t="s">
        <v>108</v>
      </c>
      <c r="H124" s="13">
        <f>1/I123</f>
        <v>0.40548013303822672</v>
      </c>
      <c r="I124" s="13">
        <v>1</v>
      </c>
      <c r="J124" s="13">
        <f>GEOMEAN(E118,E123,E128)</f>
        <v>1.7099759466766968</v>
      </c>
      <c r="W124" s="2">
        <v>8.0299999999999996E-2</v>
      </c>
    </row>
    <row r="125" spans="1:23" x14ac:dyDescent="0.35">
      <c r="B125" s="99" t="s">
        <v>87</v>
      </c>
      <c r="C125" s="99"/>
      <c r="D125" s="99"/>
      <c r="E125" s="99"/>
      <c r="G125" s="13" t="s">
        <v>109</v>
      </c>
      <c r="H125" s="13">
        <f>1/J123</f>
        <v>0.58480354764257325</v>
      </c>
      <c r="I125" s="13">
        <f>1/J124</f>
        <v>0.58480354764257325</v>
      </c>
      <c r="J125" s="13">
        <v>1</v>
      </c>
      <c r="W125" s="2">
        <v>3.9E-2</v>
      </c>
    </row>
    <row r="126" spans="1:23" x14ac:dyDescent="0.35">
      <c r="B126" s="13" t="s">
        <v>103</v>
      </c>
      <c r="C126" s="13" t="s">
        <v>30</v>
      </c>
      <c r="D126" s="13" t="s">
        <v>108</v>
      </c>
      <c r="E126" s="13" t="s">
        <v>109</v>
      </c>
      <c r="G126" s="13" t="s">
        <v>88</v>
      </c>
      <c r="H126" s="13">
        <f>SUM(H123:H125)</f>
        <v>1.9902836806808</v>
      </c>
      <c r="I126" s="13">
        <f>SUM(I123:I125)</f>
        <v>4.0510156219730433</v>
      </c>
      <c r="J126" s="13">
        <f>SUM(J123:J125)</f>
        <v>4.4199518933533941</v>
      </c>
      <c r="W126" s="2">
        <v>2.7400000000000001E-2</v>
      </c>
    </row>
    <row r="127" spans="1:23" x14ac:dyDescent="0.35">
      <c r="B127" s="13" t="s">
        <v>30</v>
      </c>
      <c r="C127" s="13">
        <v>1</v>
      </c>
      <c r="D127" s="13">
        <v>5</v>
      </c>
      <c r="E127" s="13">
        <v>5</v>
      </c>
      <c r="W127" s="2">
        <v>6.3100000000000003E-2</v>
      </c>
    </row>
    <row r="128" spans="1:23" x14ac:dyDescent="0.35">
      <c r="B128" s="13" t="s">
        <v>108</v>
      </c>
      <c r="C128" s="13">
        <f>1/D127</f>
        <v>0.2</v>
      </c>
      <c r="D128" s="13">
        <v>1</v>
      </c>
      <c r="E128" s="13">
        <v>5</v>
      </c>
      <c r="G128" t="s">
        <v>89</v>
      </c>
      <c r="W128" s="2">
        <v>1.7000000000000001E-2</v>
      </c>
    </row>
    <row r="129" spans="1:23" x14ac:dyDescent="0.35">
      <c r="B129" s="13" t="s">
        <v>109</v>
      </c>
      <c r="C129" s="13">
        <f>1/E127</f>
        <v>0.2</v>
      </c>
      <c r="D129" s="13">
        <f>1/E128</f>
        <v>0.2</v>
      </c>
      <c r="E129" s="13">
        <v>1</v>
      </c>
      <c r="G129" s="13" t="s">
        <v>103</v>
      </c>
      <c r="H129" s="13" t="s">
        <v>30</v>
      </c>
      <c r="I129" s="13" t="s">
        <v>108</v>
      </c>
      <c r="J129" s="13" t="s">
        <v>109</v>
      </c>
      <c r="K129" s="13" t="s">
        <v>90</v>
      </c>
      <c r="L129" s="13" t="s">
        <v>91</v>
      </c>
      <c r="M129" s="13" t="s">
        <v>92</v>
      </c>
      <c r="W129" s="2">
        <v>4.0099999999999997E-2</v>
      </c>
    </row>
    <row r="130" spans="1:23" x14ac:dyDescent="0.35">
      <c r="G130" s="13" t="s">
        <v>30</v>
      </c>
      <c r="H130" s="13">
        <f>H123/$H$126</f>
        <v>0.50244093829776981</v>
      </c>
      <c r="I130" s="13">
        <f>I123/$I$126</f>
        <v>0.60878858648520928</v>
      </c>
      <c r="J130" s="13">
        <f>J123/$J$126</f>
        <v>0.38687659683538933</v>
      </c>
      <c r="K130" s="61">
        <f>SUM(H130:J130)/3</f>
        <v>0.49936870720612281</v>
      </c>
      <c r="L130" s="13">
        <f>MMULT(H123:J123,$K$130:$K$132)</f>
        <v>1.5665415309886672</v>
      </c>
      <c r="M130" s="13">
        <f>L130/K130</f>
        <v>3.1370438483283873</v>
      </c>
      <c r="W130" s="2">
        <f>SUM(W114:W129)</f>
        <v>1</v>
      </c>
    </row>
    <row r="131" spans="1:23" x14ac:dyDescent="0.35">
      <c r="G131" s="13" t="s">
        <v>108</v>
      </c>
      <c r="H131" s="13">
        <f t="shared" ref="H131:H132" si="28">H124/$H$126</f>
        <v>0.20372981850483116</v>
      </c>
      <c r="I131" s="13">
        <f t="shared" ref="I131:I132" si="29">I124/$I$126</f>
        <v>0.24685167704017663</v>
      </c>
      <c r="J131" s="13">
        <f t="shared" ref="J131:J132" si="30">J124/$J$126</f>
        <v>0.38687659683538933</v>
      </c>
      <c r="K131" s="61">
        <f>SUM(H131:J131)/3</f>
        <v>0.27915269746013238</v>
      </c>
      <c r="L131" s="13">
        <f t="shared" ref="L131:L132" si="31">MMULT(H124:J124,$K$130:$K$132)</f>
        <v>0.8603598580176437</v>
      </c>
      <c r="M131" s="13">
        <f t="shared" ref="M131:M132" si="32">L131/K131</f>
        <v>3.0820402806264027</v>
      </c>
    </row>
    <row r="132" spans="1:23" x14ac:dyDescent="0.35">
      <c r="G132" s="13" t="s">
        <v>109</v>
      </c>
      <c r="H132" s="13">
        <f t="shared" si="28"/>
        <v>0.29382924319739906</v>
      </c>
      <c r="I132" s="13">
        <f t="shared" si="29"/>
        <v>0.14435973647461406</v>
      </c>
      <c r="J132" s="13">
        <f t="shared" si="30"/>
        <v>0.22624680632922123</v>
      </c>
      <c r="K132" s="61">
        <f>SUM(H132:J132)/3</f>
        <v>0.22147859533374478</v>
      </c>
      <c r="L132" s="13">
        <f t="shared" si="31"/>
        <v>0.67676067469825019</v>
      </c>
      <c r="M132" s="13">
        <f t="shared" si="32"/>
        <v>3.0556482159300473</v>
      </c>
    </row>
    <row r="133" spans="1:23" x14ac:dyDescent="0.35">
      <c r="G133" s="13" t="s">
        <v>88</v>
      </c>
      <c r="H133" s="13">
        <f>SUM(H130:H132)</f>
        <v>1</v>
      </c>
      <c r="I133" s="13">
        <f>SUM(I130:I132)</f>
        <v>1</v>
      </c>
      <c r="J133" s="13">
        <f>SUM(J130:J132)</f>
        <v>0.99999999999999989</v>
      </c>
      <c r="N133" s="13" t="s">
        <v>93</v>
      </c>
      <c r="O133" s="13">
        <f>AVERAGE(M130:M132)</f>
        <v>3.0915774482949456</v>
      </c>
      <c r="P133" s="100" t="s">
        <v>122</v>
      </c>
      <c r="Q133" s="101"/>
      <c r="R133" s="102"/>
    </row>
    <row r="134" spans="1:23" x14ac:dyDescent="0.35">
      <c r="N134" s="13" t="s">
        <v>94</v>
      </c>
      <c r="O134" s="13">
        <v>3</v>
      </c>
      <c r="P134" s="103" t="str">
        <f>IF(O137&lt;=0.1,"Konsisten","Tidak Konsisten")</f>
        <v>Konsisten</v>
      </c>
      <c r="Q134" s="104"/>
      <c r="R134" s="105"/>
    </row>
    <row r="135" spans="1:23" x14ac:dyDescent="0.35">
      <c r="N135" s="13" t="s">
        <v>95</v>
      </c>
      <c r="O135" s="13">
        <f>(O133-O134)/(O134-1)</f>
        <v>4.5788724147472815E-2</v>
      </c>
      <c r="P135" s="57" t="s">
        <v>100</v>
      </c>
      <c r="Q135" s="58"/>
      <c r="R135" s="59"/>
    </row>
    <row r="136" spans="1:23" x14ac:dyDescent="0.35">
      <c r="N136" s="13" t="s">
        <v>98</v>
      </c>
      <c r="O136" s="13">
        <f>$D$2</f>
        <v>0.57999999999999996</v>
      </c>
    </row>
    <row r="137" spans="1:23" x14ac:dyDescent="0.35">
      <c r="N137" s="13" t="s">
        <v>99</v>
      </c>
      <c r="O137" s="13">
        <f>O135/O136</f>
        <v>7.8946076116332448E-2</v>
      </c>
    </row>
    <row r="139" spans="1:23" x14ac:dyDescent="0.35">
      <c r="A139" s="4"/>
    </row>
  </sheetData>
  <mergeCells count="25">
    <mergeCell ref="P134:R134"/>
    <mergeCell ref="P108:R108"/>
    <mergeCell ref="P109:R109"/>
    <mergeCell ref="B115:E115"/>
    <mergeCell ref="B120:E120"/>
    <mergeCell ref="B125:E125"/>
    <mergeCell ref="P133:R133"/>
    <mergeCell ref="B100:E100"/>
    <mergeCell ref="B42:F42"/>
    <mergeCell ref="B48:F48"/>
    <mergeCell ref="Q58:S58"/>
    <mergeCell ref="Q59:S59"/>
    <mergeCell ref="B65:E65"/>
    <mergeCell ref="B70:E70"/>
    <mergeCell ref="B75:E75"/>
    <mergeCell ref="P83:R83"/>
    <mergeCell ref="P84:R84"/>
    <mergeCell ref="B90:E90"/>
    <mergeCell ref="B95:E95"/>
    <mergeCell ref="B36:F36"/>
    <mergeCell ref="B5:F5"/>
    <mergeCell ref="B11:F11"/>
    <mergeCell ref="B17:F17"/>
    <mergeCell ref="Q27:T27"/>
    <mergeCell ref="Q28:T28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3A968FD-C149-44E9-BC3C-3B65255D8114}">
  <sheetPr>
    <tabColor rgb="FFFFFF00"/>
  </sheetPr>
  <dimension ref="A1:W139"/>
  <sheetViews>
    <sheetView topLeftCell="F118" zoomScale="85" zoomScaleNormal="85" workbookViewId="0">
      <selection activeCell="O134" sqref="O134"/>
    </sheetView>
  </sheetViews>
  <sheetFormatPr defaultRowHeight="14.5" x14ac:dyDescent="0.35"/>
  <cols>
    <col min="1" max="1" width="13.453125" bestFit="1" customWidth="1"/>
    <col min="2" max="2" width="11.36328125" customWidth="1"/>
    <col min="3" max="3" width="9.81640625" customWidth="1"/>
    <col min="4" max="4" width="12.54296875" bestFit="1" customWidth="1"/>
    <col min="5" max="5" width="11.81640625" bestFit="1" customWidth="1"/>
    <col min="7" max="7" width="10.1796875" bestFit="1" customWidth="1"/>
    <col min="8" max="8" width="15.6328125" bestFit="1" customWidth="1"/>
    <col min="10" max="10" width="11.81640625" bestFit="1" customWidth="1"/>
    <col min="11" max="11" width="12.6328125" bestFit="1" customWidth="1"/>
    <col min="12" max="12" width="11.81640625" bestFit="1" customWidth="1"/>
    <col min="13" max="13" width="12.6328125" bestFit="1" customWidth="1"/>
    <col min="14" max="16" width="11.81640625" bestFit="1" customWidth="1"/>
    <col min="17" max="17" width="10.54296875" customWidth="1"/>
    <col min="19" max="19" width="12.1796875" customWidth="1"/>
  </cols>
  <sheetData>
    <row r="1" spans="1:13" x14ac:dyDescent="0.35">
      <c r="A1" s="13" t="s">
        <v>97</v>
      </c>
      <c r="B1" s="13">
        <v>1</v>
      </c>
      <c r="C1" s="13">
        <v>2</v>
      </c>
      <c r="D1" s="13">
        <v>3</v>
      </c>
      <c r="E1" s="13">
        <v>4</v>
      </c>
      <c r="F1" s="13">
        <v>5</v>
      </c>
      <c r="G1" s="13">
        <v>6</v>
      </c>
      <c r="H1" s="13">
        <v>7</v>
      </c>
      <c r="I1" s="13">
        <v>8</v>
      </c>
      <c r="J1" s="13">
        <v>9</v>
      </c>
      <c r="K1" s="13">
        <v>10</v>
      </c>
      <c r="L1" s="13">
        <v>11</v>
      </c>
      <c r="M1" s="13">
        <v>12</v>
      </c>
    </row>
    <row r="2" spans="1:13" x14ac:dyDescent="0.35">
      <c r="A2" s="13" t="s">
        <v>96</v>
      </c>
      <c r="B2" s="13">
        <v>0</v>
      </c>
      <c r="C2" s="13">
        <v>0</v>
      </c>
      <c r="D2" s="13">
        <v>0.57999999999999996</v>
      </c>
      <c r="E2" s="13">
        <v>0.9</v>
      </c>
      <c r="F2" s="13">
        <v>1.1200000000000001</v>
      </c>
      <c r="G2" s="13">
        <v>1.24</v>
      </c>
      <c r="H2" s="13">
        <v>1.32</v>
      </c>
      <c r="I2" s="13">
        <v>1.41</v>
      </c>
      <c r="J2" s="13">
        <v>1.45</v>
      </c>
      <c r="K2" s="13">
        <v>1.49</v>
      </c>
      <c r="L2" s="13">
        <v>1.52</v>
      </c>
      <c r="M2" s="13">
        <v>1.54</v>
      </c>
    </row>
    <row r="4" spans="1:13" x14ac:dyDescent="0.35">
      <c r="A4" s="4" t="s">
        <v>101</v>
      </c>
    </row>
    <row r="5" spans="1:13" x14ac:dyDescent="0.35">
      <c r="B5" s="106" t="s">
        <v>81</v>
      </c>
      <c r="C5" s="106"/>
      <c r="D5" s="106"/>
      <c r="E5" s="106"/>
      <c r="F5" s="106"/>
    </row>
    <row r="6" spans="1:13" x14ac:dyDescent="0.35">
      <c r="B6" s="13" t="s">
        <v>46</v>
      </c>
      <c r="C6" s="13" t="s">
        <v>82</v>
      </c>
      <c r="D6" s="13" t="s">
        <v>83</v>
      </c>
      <c r="E6" s="13" t="s">
        <v>85</v>
      </c>
      <c r="F6" s="13" t="s">
        <v>84</v>
      </c>
    </row>
    <row r="7" spans="1:13" x14ac:dyDescent="0.35">
      <c r="B7" s="13" t="s">
        <v>82</v>
      </c>
      <c r="C7" s="13">
        <v>1</v>
      </c>
      <c r="D7" s="13">
        <v>5</v>
      </c>
      <c r="E7" s="13">
        <v>3</v>
      </c>
      <c r="F7" s="13">
        <v>7</v>
      </c>
    </row>
    <row r="8" spans="1:13" x14ac:dyDescent="0.35">
      <c r="B8" s="13" t="s">
        <v>83</v>
      </c>
      <c r="C8" s="13">
        <f>1/D7</f>
        <v>0.2</v>
      </c>
      <c r="D8" s="13">
        <v>1</v>
      </c>
      <c r="E8" s="13">
        <v>3</v>
      </c>
      <c r="F8" s="13">
        <v>5</v>
      </c>
    </row>
    <row r="9" spans="1:13" x14ac:dyDescent="0.35">
      <c r="B9" s="13" t="s">
        <v>85</v>
      </c>
      <c r="C9" s="13">
        <f>1/E7</f>
        <v>0.33333333333333331</v>
      </c>
      <c r="D9" s="13">
        <f>1/E8</f>
        <v>0.33333333333333331</v>
      </c>
      <c r="E9" s="13">
        <v>1</v>
      </c>
      <c r="F9" s="13">
        <v>5</v>
      </c>
    </row>
    <row r="10" spans="1:13" x14ac:dyDescent="0.35">
      <c r="B10" s="13" t="s">
        <v>84</v>
      </c>
      <c r="C10" s="13">
        <f>1/F7</f>
        <v>0.14285714285714285</v>
      </c>
      <c r="D10" s="13">
        <f>1/F8</f>
        <v>0.2</v>
      </c>
      <c r="E10" s="13">
        <f>1/F9</f>
        <v>0.2</v>
      </c>
      <c r="F10" s="13">
        <v>1</v>
      </c>
    </row>
    <row r="11" spans="1:13" x14ac:dyDescent="0.35">
      <c r="B11" s="106" t="s">
        <v>86</v>
      </c>
      <c r="C11" s="106"/>
      <c r="D11" s="106"/>
      <c r="E11" s="106"/>
      <c r="F11" s="106"/>
    </row>
    <row r="12" spans="1:13" x14ac:dyDescent="0.35">
      <c r="B12" s="13" t="s">
        <v>46</v>
      </c>
      <c r="C12" s="13" t="s">
        <v>82</v>
      </c>
      <c r="D12" s="13" t="s">
        <v>83</v>
      </c>
      <c r="E12" s="13" t="s">
        <v>85</v>
      </c>
      <c r="F12" s="13" t="s">
        <v>84</v>
      </c>
    </row>
    <row r="13" spans="1:13" x14ac:dyDescent="0.35">
      <c r="B13" s="13" t="s">
        <v>82</v>
      </c>
      <c r="C13" s="13">
        <v>1</v>
      </c>
      <c r="D13" s="13">
        <f>1/3</f>
        <v>0.33333333333333331</v>
      </c>
      <c r="E13" s="13">
        <v>3</v>
      </c>
      <c r="F13" s="13">
        <v>5</v>
      </c>
      <c r="H13" s="13" t="s">
        <v>46</v>
      </c>
      <c r="I13" s="13" t="s">
        <v>82</v>
      </c>
      <c r="J13" s="13" t="s">
        <v>83</v>
      </c>
      <c r="K13" s="13" t="s">
        <v>85</v>
      </c>
      <c r="L13" s="13" t="s">
        <v>84</v>
      </c>
    </row>
    <row r="14" spans="1:13" x14ac:dyDescent="0.35">
      <c r="B14" s="13" t="s">
        <v>83</v>
      </c>
      <c r="C14" s="13">
        <f>1/D13</f>
        <v>3</v>
      </c>
      <c r="D14" s="13">
        <v>1</v>
      </c>
      <c r="E14" s="13">
        <v>3</v>
      </c>
      <c r="F14" s="13">
        <v>5</v>
      </c>
      <c r="H14" s="13" t="s">
        <v>82</v>
      </c>
      <c r="I14" s="13">
        <v>1</v>
      </c>
      <c r="J14" s="13">
        <f>GEOMEAN(D7,D19,D13)</f>
        <v>0.61979809424109344</v>
      </c>
      <c r="K14" s="13">
        <f t="shared" ref="K14:L16" si="0">GEOMEAN(E7,E19,E13)</f>
        <v>3.9790572078963922</v>
      </c>
      <c r="L14" s="13">
        <f t="shared" si="0"/>
        <v>4.7176939803165334</v>
      </c>
    </row>
    <row r="15" spans="1:13" x14ac:dyDescent="0.35">
      <c r="B15" s="13" t="s">
        <v>85</v>
      </c>
      <c r="C15" s="13">
        <f>1/E13</f>
        <v>0.33333333333333331</v>
      </c>
      <c r="D15" s="13">
        <f>1/E14</f>
        <v>0.33333333333333331</v>
      </c>
      <c r="E15" s="13">
        <v>1</v>
      </c>
      <c r="F15" s="13">
        <v>3</v>
      </c>
      <c r="H15" s="13" t="s">
        <v>83</v>
      </c>
      <c r="I15" s="13">
        <f>1/J14</f>
        <v>1.6134286460245437</v>
      </c>
      <c r="J15" s="13">
        <v>1</v>
      </c>
      <c r="K15" s="13">
        <f t="shared" si="0"/>
        <v>3.556893304490063</v>
      </c>
      <c r="L15" s="13">
        <f t="shared" si="0"/>
        <v>5.5934447104069838</v>
      </c>
    </row>
    <row r="16" spans="1:13" x14ac:dyDescent="0.35">
      <c r="B16" s="13" t="s">
        <v>84</v>
      </c>
      <c r="C16" s="13">
        <f>1/F13</f>
        <v>0.2</v>
      </c>
      <c r="D16" s="13">
        <f>1/F14</f>
        <v>0.2</v>
      </c>
      <c r="E16" s="13">
        <f>1/F15</f>
        <v>0.33333333333333331</v>
      </c>
      <c r="F16" s="13">
        <v>1</v>
      </c>
      <c r="H16" s="13" t="s">
        <v>85</v>
      </c>
      <c r="I16" s="13">
        <f>1/K14</f>
        <v>0.25131581370971789</v>
      </c>
      <c r="J16" s="13">
        <f>1/K15</f>
        <v>0.28114422176724974</v>
      </c>
      <c r="K16" s="13">
        <v>1</v>
      </c>
      <c r="L16" s="13">
        <f t="shared" si="0"/>
        <v>4.7176939803165334</v>
      </c>
    </row>
    <row r="17" spans="2:20" x14ac:dyDescent="0.35">
      <c r="B17" s="106" t="s">
        <v>87</v>
      </c>
      <c r="C17" s="106"/>
      <c r="D17" s="106"/>
      <c r="E17" s="106"/>
      <c r="F17" s="106"/>
      <c r="H17" s="13" t="s">
        <v>84</v>
      </c>
      <c r="I17" s="13">
        <f>1/L14</f>
        <v>0.2119679665896653</v>
      </c>
      <c r="J17" s="13">
        <f>1/L15</f>
        <v>0.17878070701931353</v>
      </c>
      <c r="K17" s="13">
        <f>1/L16</f>
        <v>0.2119679665896653</v>
      </c>
      <c r="L17" s="13">
        <v>1</v>
      </c>
    </row>
    <row r="18" spans="2:20" x14ac:dyDescent="0.35">
      <c r="B18" s="13" t="s">
        <v>46</v>
      </c>
      <c r="C18" s="13" t="s">
        <v>82</v>
      </c>
      <c r="D18" s="13" t="s">
        <v>83</v>
      </c>
      <c r="E18" s="13" t="s">
        <v>85</v>
      </c>
      <c r="F18" s="13" t="s">
        <v>84</v>
      </c>
      <c r="H18" s="13" t="s">
        <v>88</v>
      </c>
      <c r="I18" s="13">
        <f>SUM(I14:I17)</f>
        <v>3.0767124263239269</v>
      </c>
      <c r="J18" s="13">
        <f t="shared" ref="J18:L18" si="1">SUM(J14:J17)</f>
        <v>2.0797230230276567</v>
      </c>
      <c r="K18" s="13">
        <f t="shared" si="1"/>
        <v>8.7479184789761195</v>
      </c>
      <c r="L18" s="13">
        <f t="shared" si="1"/>
        <v>16.02883267104005</v>
      </c>
    </row>
    <row r="19" spans="2:20" x14ac:dyDescent="0.35">
      <c r="B19" s="13" t="s">
        <v>82</v>
      </c>
      <c r="C19" s="13">
        <v>1</v>
      </c>
      <c r="D19" s="13">
        <f>1/7</f>
        <v>0.14285714285714285</v>
      </c>
      <c r="E19" s="13">
        <v>7</v>
      </c>
      <c r="F19" s="13">
        <v>3</v>
      </c>
    </row>
    <row r="20" spans="2:20" x14ac:dyDescent="0.35">
      <c r="B20" s="13" t="s">
        <v>83</v>
      </c>
      <c r="C20" s="13">
        <f>1/D19</f>
        <v>7</v>
      </c>
      <c r="D20" s="13">
        <v>1</v>
      </c>
      <c r="E20" s="13">
        <v>5</v>
      </c>
      <c r="F20" s="13">
        <v>7</v>
      </c>
      <c r="H20" t="s">
        <v>89</v>
      </c>
    </row>
    <row r="21" spans="2:20" x14ac:dyDescent="0.35">
      <c r="B21" s="13" t="s">
        <v>85</v>
      </c>
      <c r="C21" s="13">
        <f>1/E19</f>
        <v>0.14285714285714285</v>
      </c>
      <c r="D21" s="13">
        <f>1/E20</f>
        <v>0.2</v>
      </c>
      <c r="E21" s="13">
        <v>1</v>
      </c>
      <c r="F21" s="13">
        <v>7</v>
      </c>
      <c r="H21" s="13" t="s">
        <v>46</v>
      </c>
      <c r="I21" s="13" t="s">
        <v>82</v>
      </c>
      <c r="J21" s="13" t="s">
        <v>83</v>
      </c>
      <c r="K21" s="13" t="s">
        <v>85</v>
      </c>
      <c r="L21" s="13" t="s">
        <v>84</v>
      </c>
      <c r="M21" s="13" t="s">
        <v>90</v>
      </c>
      <c r="N21" s="13" t="s">
        <v>91</v>
      </c>
      <c r="O21" s="13" t="s">
        <v>92</v>
      </c>
    </row>
    <row r="22" spans="2:20" x14ac:dyDescent="0.35">
      <c r="B22" s="13" t="s">
        <v>84</v>
      </c>
      <c r="C22" s="13">
        <f>1/F19</f>
        <v>0.33333333333333331</v>
      </c>
      <c r="D22" s="13">
        <f>1/F20</f>
        <v>0.14285714285714285</v>
      </c>
      <c r="E22" s="13">
        <f>1/F21</f>
        <v>0.14285714285714285</v>
      </c>
      <c r="F22" s="13">
        <v>1</v>
      </c>
      <c r="H22" s="13" t="s">
        <v>82</v>
      </c>
      <c r="I22" s="13">
        <f>I14/$I$18</f>
        <v>0.32502225149290459</v>
      </c>
      <c r="J22" s="13">
        <f>J14/$J$18</f>
        <v>0.29801953787999741</v>
      </c>
      <c r="K22" s="13">
        <f>K14/$K$18</f>
        <v>0.45485760040622969</v>
      </c>
      <c r="L22" s="13">
        <f>L14/$L$18</f>
        <v>0.29432548689838062</v>
      </c>
      <c r="M22" s="61">
        <f>SUM(I22:L22)/4</f>
        <v>0.34305621916937806</v>
      </c>
      <c r="N22" s="13">
        <f>MMULT(I14:L14,$M$22:$M$25)</f>
        <v>1.5229233141820708</v>
      </c>
      <c r="O22" s="13">
        <f>N22/M22</f>
        <v>4.4392820449937798</v>
      </c>
    </row>
    <row r="23" spans="2:20" x14ac:dyDescent="0.35">
      <c r="H23" s="13" t="s">
        <v>83</v>
      </c>
      <c r="I23" s="13">
        <f>I15/$I$18</f>
        <v>0.52440021115404578</v>
      </c>
      <c r="J23" s="13">
        <f t="shared" ref="J23:J25" si="2">J15/$J$18</f>
        <v>0.48083325949058447</v>
      </c>
      <c r="K23" s="13">
        <f t="shared" ref="K23:K25" si="3">K15/$K$18</f>
        <v>0.40659881696867067</v>
      </c>
      <c r="L23" s="13">
        <f t="shared" ref="L23:L25" si="4">L15/$L$18</f>
        <v>0.34896145122987587</v>
      </c>
      <c r="M23" s="61">
        <f t="shared" ref="M23:M25" si="5">SUM(I23:L23)/4</f>
        <v>0.44019843471079423</v>
      </c>
      <c r="N23" s="13">
        <f>MMULT(I15:L15,$M$22:$M$25)</f>
        <v>1.8875799432910227</v>
      </c>
      <c r="O23" s="13">
        <f t="shared" ref="O23:O25" si="6">N23/M23</f>
        <v>4.2880205708390191</v>
      </c>
    </row>
    <row r="24" spans="2:20" x14ac:dyDescent="0.35">
      <c r="H24" s="13" t="s">
        <v>85</v>
      </c>
      <c r="I24" s="13">
        <f>I16/$I$18</f>
        <v>8.1683231607703882E-2</v>
      </c>
      <c r="J24" s="13">
        <f t="shared" si="2"/>
        <v>0.13518349253929041</v>
      </c>
      <c r="K24" s="13">
        <f t="shared" si="3"/>
        <v>0.11431290796814132</v>
      </c>
      <c r="L24" s="13">
        <f t="shared" si="4"/>
        <v>0.29432548689838062</v>
      </c>
      <c r="M24" s="61">
        <f t="shared" si="5"/>
        <v>0.15637627975337906</v>
      </c>
      <c r="N24" s="13">
        <f>MMULT(I16:L16,$M$22:$M$25)</f>
        <v>0.65115375996636282</v>
      </c>
      <c r="O24" s="13">
        <f t="shared" si="6"/>
        <v>4.1640187437205762</v>
      </c>
    </row>
    <row r="25" spans="2:20" x14ac:dyDescent="0.35">
      <c r="H25" s="13" t="s">
        <v>84</v>
      </c>
      <c r="I25" s="13">
        <f>I17/$I$18</f>
        <v>6.8894305745345788E-2</v>
      </c>
      <c r="J25" s="13">
        <f t="shared" si="2"/>
        <v>8.5963710090127737E-2</v>
      </c>
      <c r="K25" s="13">
        <f t="shared" si="3"/>
        <v>2.4230674656958464E-2</v>
      </c>
      <c r="L25" s="13">
        <f t="shared" si="4"/>
        <v>6.2387574973362912E-2</v>
      </c>
      <c r="M25" s="61">
        <f t="shared" si="5"/>
        <v>6.0369066366448731E-2</v>
      </c>
      <c r="N25" s="13">
        <f>MMULT(I17:L17,$M$22:$M$25)</f>
        <v>0.24493174499829168</v>
      </c>
      <c r="O25" s="13">
        <f t="shared" si="6"/>
        <v>4.0572392408973412</v>
      </c>
    </row>
    <row r="26" spans="2:20" x14ac:dyDescent="0.35">
      <c r="H26" s="13" t="s">
        <v>88</v>
      </c>
      <c r="I26" s="13">
        <f>SUM(I22:I25)</f>
        <v>1</v>
      </c>
      <c r="J26" s="13">
        <f t="shared" ref="J26" si="7">SUM(J22:J25)</f>
        <v>1</v>
      </c>
      <c r="K26" s="13">
        <f t="shared" ref="K26" si="8">SUM(K22:K25)</f>
        <v>1.0000000000000002</v>
      </c>
      <c r="L26" s="13">
        <f t="shared" ref="L26" si="9">SUM(L22:L25)</f>
        <v>1</v>
      </c>
      <c r="M26" s="60"/>
    </row>
    <row r="27" spans="2:20" x14ac:dyDescent="0.35">
      <c r="O27" s="13" t="s">
        <v>93</v>
      </c>
      <c r="P27" s="13">
        <f>AVERAGE(O22:O25)</f>
        <v>4.2371401501126789</v>
      </c>
      <c r="Q27" s="100" t="s">
        <v>122</v>
      </c>
      <c r="R27" s="101"/>
      <c r="S27" s="101"/>
      <c r="T27" s="102"/>
    </row>
    <row r="28" spans="2:20" x14ac:dyDescent="0.35">
      <c r="O28" s="13" t="s">
        <v>94</v>
      </c>
      <c r="P28" s="13">
        <v>4</v>
      </c>
      <c r="Q28" s="103" t="str">
        <f>IF(P31&lt;=0.1,"Konsisten","Tidak Konsisten")</f>
        <v>Konsisten</v>
      </c>
      <c r="R28" s="104"/>
      <c r="S28" s="104"/>
      <c r="T28" s="105"/>
    </row>
    <row r="29" spans="2:20" x14ac:dyDescent="0.35">
      <c r="O29" s="13" t="s">
        <v>95</v>
      </c>
      <c r="P29" s="13">
        <f>(P27-P28)/(P28-1)</f>
        <v>7.9046716704226291E-2</v>
      </c>
      <c r="Q29" s="57" t="s">
        <v>100</v>
      </c>
      <c r="R29" s="58"/>
      <c r="S29" s="58"/>
      <c r="T29" s="59"/>
    </row>
    <row r="30" spans="2:20" x14ac:dyDescent="0.35">
      <c r="O30" s="13" t="s">
        <v>98</v>
      </c>
      <c r="P30" s="13">
        <f>$E$2</f>
        <v>0.9</v>
      </c>
    </row>
    <row r="31" spans="2:20" x14ac:dyDescent="0.35">
      <c r="O31" s="13" t="s">
        <v>99</v>
      </c>
      <c r="P31" s="13">
        <f>P29/P30</f>
        <v>8.78296852269181E-2</v>
      </c>
    </row>
    <row r="34" spans="1:12" x14ac:dyDescent="0.35">
      <c r="A34" s="4" t="s">
        <v>102</v>
      </c>
    </row>
    <row r="35" spans="1:12" x14ac:dyDescent="0.35">
      <c r="A35" t="s">
        <v>82</v>
      </c>
    </row>
    <row r="36" spans="1:12" x14ac:dyDescent="0.35">
      <c r="B36" s="106" t="s">
        <v>81</v>
      </c>
      <c r="C36" s="106"/>
      <c r="D36" s="106"/>
      <c r="E36" s="106"/>
      <c r="F36" s="106"/>
    </row>
    <row r="37" spans="1:12" x14ac:dyDescent="0.35">
      <c r="B37" s="13" t="s">
        <v>103</v>
      </c>
      <c r="C37" s="13" t="s">
        <v>21</v>
      </c>
      <c r="D37" s="13" t="s">
        <v>22</v>
      </c>
      <c r="E37" s="13" t="s">
        <v>104</v>
      </c>
      <c r="F37" s="13" t="s">
        <v>20</v>
      </c>
    </row>
    <row r="38" spans="1:12" x14ac:dyDescent="0.35">
      <c r="B38" s="13" t="s">
        <v>21</v>
      </c>
      <c r="C38" s="13">
        <v>1</v>
      </c>
      <c r="D38" s="70">
        <f>1/9</f>
        <v>0.1111111111111111</v>
      </c>
      <c r="E38" s="13">
        <v>1</v>
      </c>
      <c r="F38" s="13">
        <v>7</v>
      </c>
    </row>
    <row r="39" spans="1:12" x14ac:dyDescent="0.35">
      <c r="B39" s="13" t="s">
        <v>22</v>
      </c>
      <c r="C39" s="13">
        <f>1/D38</f>
        <v>9</v>
      </c>
      <c r="D39" s="13">
        <v>1</v>
      </c>
      <c r="E39" s="13">
        <v>5</v>
      </c>
      <c r="F39" s="13">
        <v>7</v>
      </c>
    </row>
    <row r="40" spans="1:12" x14ac:dyDescent="0.35">
      <c r="B40" s="13" t="s">
        <v>104</v>
      </c>
      <c r="C40" s="13">
        <f>1/E38</f>
        <v>1</v>
      </c>
      <c r="D40" s="13">
        <f>1/E39</f>
        <v>0.2</v>
      </c>
      <c r="E40" s="13">
        <v>1</v>
      </c>
      <c r="F40" s="13">
        <v>7</v>
      </c>
    </row>
    <row r="41" spans="1:12" x14ac:dyDescent="0.35">
      <c r="B41" s="13" t="s">
        <v>20</v>
      </c>
      <c r="C41" s="13">
        <f>1/F38</f>
        <v>0.14285714285714285</v>
      </c>
      <c r="D41" s="13">
        <f>1/F39</f>
        <v>0.14285714285714285</v>
      </c>
      <c r="E41" s="13">
        <f>1/F40</f>
        <v>0.14285714285714285</v>
      </c>
      <c r="F41" s="13">
        <v>1</v>
      </c>
    </row>
    <row r="42" spans="1:12" x14ac:dyDescent="0.35">
      <c r="B42" s="106" t="s">
        <v>86</v>
      </c>
      <c r="C42" s="106"/>
      <c r="D42" s="106"/>
      <c r="E42" s="106"/>
      <c r="F42" s="106"/>
    </row>
    <row r="43" spans="1:12" x14ac:dyDescent="0.35">
      <c r="B43" s="13" t="s">
        <v>103</v>
      </c>
      <c r="C43" s="13" t="s">
        <v>21</v>
      </c>
      <c r="D43" s="13" t="s">
        <v>22</v>
      </c>
      <c r="E43" s="13" t="s">
        <v>104</v>
      </c>
      <c r="F43" s="13" t="s">
        <v>20</v>
      </c>
    </row>
    <row r="44" spans="1:12" x14ac:dyDescent="0.35">
      <c r="B44" s="13" t="s">
        <v>21</v>
      </c>
      <c r="C44" s="13">
        <v>1</v>
      </c>
      <c r="D44" s="13">
        <v>7</v>
      </c>
      <c r="E44" s="13">
        <v>5</v>
      </c>
      <c r="F44" s="13">
        <v>5</v>
      </c>
      <c r="H44" s="13" t="s">
        <v>103</v>
      </c>
      <c r="I44" s="13" t="s">
        <v>21</v>
      </c>
      <c r="J44" s="13" t="s">
        <v>22</v>
      </c>
      <c r="K44" s="13" t="s">
        <v>104</v>
      </c>
      <c r="L44" s="13" t="s">
        <v>20</v>
      </c>
    </row>
    <row r="45" spans="1:12" x14ac:dyDescent="0.35">
      <c r="B45" s="13" t="s">
        <v>22</v>
      </c>
      <c r="C45" s="13">
        <f>1/D44</f>
        <v>0.14285714285714285</v>
      </c>
      <c r="D45" s="13">
        <v>1</v>
      </c>
      <c r="E45" s="13">
        <v>1</v>
      </c>
      <c r="F45" s="70">
        <f>1/3</f>
        <v>0.33333333333333331</v>
      </c>
      <c r="H45" s="13" t="s">
        <v>21</v>
      </c>
      <c r="I45" s="13">
        <v>1</v>
      </c>
      <c r="J45" s="13">
        <f>GEOMEAN(D38,D44,D50)</f>
        <v>1.572564660105511</v>
      </c>
      <c r="K45" s="13">
        <f t="shared" ref="K45:L47" si="10">GEOMEAN(E38,E44,E50)</f>
        <v>2.924017738212866</v>
      </c>
      <c r="L45" s="13">
        <f t="shared" si="10"/>
        <v>5.5934447104069838</v>
      </c>
    </row>
    <row r="46" spans="1:12" x14ac:dyDescent="0.35">
      <c r="B46" s="13" t="s">
        <v>104</v>
      </c>
      <c r="C46" s="13">
        <f>1/E44</f>
        <v>0.2</v>
      </c>
      <c r="D46" s="13">
        <f>1/E45</f>
        <v>1</v>
      </c>
      <c r="E46" s="13">
        <v>1</v>
      </c>
      <c r="F46" s="13">
        <v>3</v>
      </c>
      <c r="H46" s="13" t="s">
        <v>22</v>
      </c>
      <c r="I46" s="13">
        <f>1/J45</f>
        <v>0.63590389976899597</v>
      </c>
      <c r="J46" s="13">
        <v>1</v>
      </c>
      <c r="K46" s="13">
        <f t="shared" si="10"/>
        <v>2.4662120743304699</v>
      </c>
      <c r="L46" s="13">
        <f t="shared" si="10"/>
        <v>1.9129311827723889</v>
      </c>
    </row>
    <row r="47" spans="1:12" x14ac:dyDescent="0.35">
      <c r="B47" s="13" t="s">
        <v>20</v>
      </c>
      <c r="C47" s="13">
        <f>1/F44</f>
        <v>0.2</v>
      </c>
      <c r="D47" s="13">
        <f>1/F45</f>
        <v>3</v>
      </c>
      <c r="E47" s="13">
        <f>1/F46</f>
        <v>0.33333333333333331</v>
      </c>
      <c r="F47" s="13">
        <v>1</v>
      </c>
      <c r="H47" s="13" t="s">
        <v>104</v>
      </c>
      <c r="I47" s="13">
        <f>1/K45</f>
        <v>0.3419951893353394</v>
      </c>
      <c r="J47" s="13">
        <f>1/K46</f>
        <v>0.40548013303822672</v>
      </c>
      <c r="K47" s="13">
        <v>1</v>
      </c>
      <c r="L47" s="13">
        <f t="shared" si="10"/>
        <v>1.6134286460245437</v>
      </c>
    </row>
    <row r="48" spans="1:12" x14ac:dyDescent="0.35">
      <c r="B48" s="106" t="s">
        <v>87</v>
      </c>
      <c r="C48" s="106"/>
      <c r="D48" s="106"/>
      <c r="E48" s="106"/>
      <c r="F48" s="106"/>
      <c r="H48" s="13" t="s">
        <v>20</v>
      </c>
      <c r="I48" s="13">
        <f>1/L45</f>
        <v>0.17878070701931353</v>
      </c>
      <c r="J48" s="13">
        <f>1/L46</f>
        <v>0.5227579585747103</v>
      </c>
      <c r="K48" s="13">
        <f>1/L47</f>
        <v>0.61979809424109344</v>
      </c>
      <c r="L48" s="13">
        <v>1</v>
      </c>
    </row>
    <row r="49" spans="1:19" x14ac:dyDescent="0.35">
      <c r="B49" s="13" t="s">
        <v>103</v>
      </c>
      <c r="C49" s="13" t="s">
        <v>21</v>
      </c>
      <c r="D49" s="13" t="s">
        <v>22</v>
      </c>
      <c r="E49" s="13" t="s">
        <v>104</v>
      </c>
      <c r="F49" s="13" t="s">
        <v>20</v>
      </c>
      <c r="H49" s="13" t="s">
        <v>88</v>
      </c>
      <c r="I49" s="13">
        <f>SUM(I45:I48)</f>
        <v>2.1566797961236492</v>
      </c>
      <c r="J49" s="13">
        <f t="shared" ref="J49" si="11">SUM(J45:J48)</f>
        <v>3.5008027517184481</v>
      </c>
      <c r="K49" s="13">
        <f t="shared" ref="K49" si="12">SUM(K45:K48)</f>
        <v>7.0100279067844289</v>
      </c>
      <c r="L49" s="13">
        <f t="shared" ref="L49" si="13">SUM(L45:L48)</f>
        <v>10.119804539203916</v>
      </c>
    </row>
    <row r="50" spans="1:19" x14ac:dyDescent="0.35">
      <c r="B50" s="13" t="s">
        <v>21</v>
      </c>
      <c r="C50" s="13">
        <v>1</v>
      </c>
      <c r="D50" s="13">
        <v>5</v>
      </c>
      <c r="E50" s="13">
        <v>5</v>
      </c>
      <c r="F50" s="13">
        <v>5</v>
      </c>
    </row>
    <row r="51" spans="1:19" x14ac:dyDescent="0.35">
      <c r="B51" s="13" t="s">
        <v>22</v>
      </c>
      <c r="C51" s="13">
        <f>1/D50</f>
        <v>0.2</v>
      </c>
      <c r="D51" s="13">
        <v>1</v>
      </c>
      <c r="E51" s="13">
        <v>3</v>
      </c>
      <c r="F51" s="13">
        <v>3</v>
      </c>
      <c r="H51" t="s">
        <v>89</v>
      </c>
    </row>
    <row r="52" spans="1:19" x14ac:dyDescent="0.35">
      <c r="B52" s="13" t="s">
        <v>104</v>
      </c>
      <c r="C52" s="13">
        <f>1/E50</f>
        <v>0.2</v>
      </c>
      <c r="D52" s="13">
        <f>1/E51</f>
        <v>0.33333333333333331</v>
      </c>
      <c r="E52" s="13">
        <v>1</v>
      </c>
      <c r="F52" s="70">
        <f>1/5</f>
        <v>0.2</v>
      </c>
      <c r="H52" s="13" t="s">
        <v>103</v>
      </c>
      <c r="I52" s="13" t="s">
        <v>21</v>
      </c>
      <c r="J52" s="13" t="s">
        <v>22</v>
      </c>
      <c r="K52" s="13" t="s">
        <v>104</v>
      </c>
      <c r="L52" s="13" t="s">
        <v>20</v>
      </c>
      <c r="M52" s="13" t="s">
        <v>90</v>
      </c>
      <c r="N52" s="13" t="s">
        <v>91</v>
      </c>
      <c r="O52" s="13" t="s">
        <v>92</v>
      </c>
    </row>
    <row r="53" spans="1:19" x14ac:dyDescent="0.35">
      <c r="B53" s="13" t="s">
        <v>20</v>
      </c>
      <c r="C53" s="13">
        <f>1/F50</f>
        <v>0.2</v>
      </c>
      <c r="D53" s="13">
        <f>1/F51</f>
        <v>0.33333333333333331</v>
      </c>
      <c r="E53" s="13">
        <f>1/F52</f>
        <v>5</v>
      </c>
      <c r="F53" s="13">
        <v>1</v>
      </c>
      <c r="H53" s="13" t="s">
        <v>21</v>
      </c>
      <c r="I53" s="13">
        <f>I45/$I$49</f>
        <v>0.46367569344200732</v>
      </c>
      <c r="J53" s="13">
        <f>J45/$J$49</f>
        <v>0.44920116088619449</v>
      </c>
      <c r="K53" s="13">
        <f>K45/$K$49</f>
        <v>0.41711927214768291</v>
      </c>
      <c r="L53" s="13">
        <f>L45/$L$49</f>
        <v>0.55272260336038048</v>
      </c>
      <c r="M53" s="61">
        <f>SUM(I53:L53)/4</f>
        <v>0.47067968245906627</v>
      </c>
      <c r="N53" s="13">
        <f>MMULT(I45:L45,$M$53:$M$56)</f>
        <v>1.9194863764932466</v>
      </c>
      <c r="O53" s="13">
        <f>N53/M53</f>
        <v>4.0781160692233174</v>
      </c>
    </row>
    <row r="54" spans="1:19" x14ac:dyDescent="0.35">
      <c r="H54" s="13" t="s">
        <v>22</v>
      </c>
      <c r="I54" s="13">
        <f t="shared" ref="I54:I56" si="14">I46/$I$49</f>
        <v>0.2948531816878659</v>
      </c>
      <c r="J54" s="13">
        <f t="shared" ref="J54:J56" si="15">J46/$J$49</f>
        <v>0.28564876998829125</v>
      </c>
      <c r="K54" s="13">
        <f t="shared" ref="K54:K56" si="16">K46/$K$49</f>
        <v>0.35181201945624585</v>
      </c>
      <c r="L54" s="13">
        <f t="shared" ref="L54:L56" si="17">L46/$L$49</f>
        <v>0.189028471386155</v>
      </c>
      <c r="M54" s="61">
        <f t="shared" ref="M54:M56" si="18">SUM(I54:L54)/4</f>
        <v>0.28033561062963952</v>
      </c>
      <c r="N54" s="13">
        <f>MMULT(I46:L46,$M$53:$M$56)</f>
        <v>1.1356728454306744</v>
      </c>
      <c r="O54" s="13">
        <f t="shared" ref="O54:O56" si="19">N54/M54</f>
        <v>4.0511187389997652</v>
      </c>
    </row>
    <row r="55" spans="1:19" x14ac:dyDescent="0.35">
      <c r="H55" s="13" t="s">
        <v>104</v>
      </c>
      <c r="I55" s="13">
        <f t="shared" si="14"/>
        <v>0.15857485656889408</v>
      </c>
      <c r="J55" s="13">
        <f t="shared" si="15"/>
        <v>0.11582490125705815</v>
      </c>
      <c r="K55" s="13">
        <f t="shared" si="16"/>
        <v>0.14265278445356577</v>
      </c>
      <c r="L55" s="13">
        <f t="shared" si="17"/>
        <v>0.15943278743914016</v>
      </c>
      <c r="M55" s="61">
        <f t="shared" si="18"/>
        <v>0.14412133242966454</v>
      </c>
      <c r="N55" s="13">
        <f t="shared" ref="N55:N56" si="20">MMULT(I47:L47,$M$53:$M$56)</f>
        <v>0.58795161254946959</v>
      </c>
      <c r="O55" s="13">
        <f t="shared" si="19"/>
        <v>4.0795599279961365</v>
      </c>
    </row>
    <row r="56" spans="1:19" x14ac:dyDescent="0.35">
      <c r="H56" s="13" t="s">
        <v>20</v>
      </c>
      <c r="I56" s="13">
        <f t="shared" si="14"/>
        <v>8.2896268301232548E-2</v>
      </c>
      <c r="J56" s="13">
        <f t="shared" si="15"/>
        <v>0.14932516786845609</v>
      </c>
      <c r="K56" s="13">
        <f t="shared" si="16"/>
        <v>8.8415923942505553E-2</v>
      </c>
      <c r="L56" s="13">
        <f t="shared" si="17"/>
        <v>9.8816137814324426E-2</v>
      </c>
      <c r="M56" s="61">
        <f t="shared" si="18"/>
        <v>0.10486337448162966</v>
      </c>
      <c r="N56" s="13">
        <f t="shared" si="20"/>
        <v>0.42488561959922588</v>
      </c>
      <c r="O56" s="13">
        <f t="shared" si="19"/>
        <v>4.0518018965111491</v>
      </c>
    </row>
    <row r="57" spans="1:19" x14ac:dyDescent="0.35">
      <c r="H57" s="13" t="s">
        <v>88</v>
      </c>
      <c r="I57" s="13">
        <f>SUM(I53:I56)</f>
        <v>0.99999999999999989</v>
      </c>
      <c r="J57" s="13">
        <f t="shared" ref="J57" si="21">SUM(J53:J56)</f>
        <v>1</v>
      </c>
      <c r="K57" s="13">
        <f>SUM(K53:K56)</f>
        <v>1.0000000000000002</v>
      </c>
      <c r="L57" s="13">
        <f t="shared" ref="L57" si="22">SUM(L53:L56)</f>
        <v>1</v>
      </c>
    </row>
    <row r="58" spans="1:19" x14ac:dyDescent="0.35">
      <c r="O58" s="13" t="s">
        <v>93</v>
      </c>
      <c r="P58" s="13">
        <f>AVERAGE(O53:O56)</f>
        <v>4.0651491581825923</v>
      </c>
      <c r="Q58" s="100" t="s">
        <v>122</v>
      </c>
      <c r="R58" s="101"/>
      <c r="S58" s="102"/>
    </row>
    <row r="59" spans="1:19" x14ac:dyDescent="0.35">
      <c r="O59" s="13" t="s">
        <v>94</v>
      </c>
      <c r="P59" s="13">
        <v>4</v>
      </c>
      <c r="Q59" s="103" t="str">
        <f>IF(P62&lt;=0.1,"Konsisten","Tidak Konsisten")</f>
        <v>Konsisten</v>
      </c>
      <c r="R59" s="104"/>
      <c r="S59" s="105"/>
    </row>
    <row r="60" spans="1:19" x14ac:dyDescent="0.35">
      <c r="O60" s="13" t="s">
        <v>95</v>
      </c>
      <c r="P60" s="13">
        <f>(P58-P59)/(P59-1)</f>
        <v>2.1716386060864085E-2</v>
      </c>
      <c r="Q60" s="57" t="s">
        <v>100</v>
      </c>
      <c r="R60" s="58"/>
      <c r="S60" s="59"/>
    </row>
    <row r="61" spans="1:19" x14ac:dyDescent="0.35">
      <c r="O61" s="13" t="s">
        <v>98</v>
      </c>
      <c r="P61" s="13">
        <f>$E$2</f>
        <v>0.9</v>
      </c>
    </row>
    <row r="62" spans="1:19" x14ac:dyDescent="0.35">
      <c r="O62" s="13" t="s">
        <v>99</v>
      </c>
      <c r="P62" s="13">
        <f>P60/P61</f>
        <v>2.4129317845404539E-2</v>
      </c>
    </row>
    <row r="64" spans="1:19" x14ac:dyDescent="0.35">
      <c r="A64" s="4" t="s">
        <v>83</v>
      </c>
    </row>
    <row r="65" spans="2:13" x14ac:dyDescent="0.35">
      <c r="B65" s="106" t="s">
        <v>81</v>
      </c>
      <c r="C65" s="106"/>
      <c r="D65" s="106"/>
      <c r="E65" s="106"/>
    </row>
    <row r="66" spans="2:13" x14ac:dyDescent="0.35">
      <c r="B66" s="13" t="s">
        <v>103</v>
      </c>
      <c r="C66" s="13" t="s">
        <v>56</v>
      </c>
      <c r="D66" s="13" t="s">
        <v>105</v>
      </c>
      <c r="E66" s="13" t="s">
        <v>42</v>
      </c>
    </row>
    <row r="67" spans="2:13" x14ac:dyDescent="0.35">
      <c r="B67" s="13" t="s">
        <v>56</v>
      </c>
      <c r="C67" s="13">
        <v>1</v>
      </c>
      <c r="D67" s="70">
        <f>1/7</f>
        <v>0.14285714285714285</v>
      </c>
      <c r="E67" s="70">
        <f>1/7</f>
        <v>0.14285714285714285</v>
      </c>
    </row>
    <row r="68" spans="2:13" x14ac:dyDescent="0.35">
      <c r="B68" s="13" t="s">
        <v>105</v>
      </c>
      <c r="C68" s="13">
        <f>1/D67</f>
        <v>7</v>
      </c>
      <c r="D68" s="13">
        <v>1</v>
      </c>
      <c r="E68" s="13">
        <v>7</v>
      </c>
    </row>
    <row r="69" spans="2:13" x14ac:dyDescent="0.35">
      <c r="B69" s="13" t="s">
        <v>42</v>
      </c>
      <c r="C69" s="13">
        <f>1/E67</f>
        <v>7</v>
      </c>
      <c r="D69" s="13">
        <f>1/E68</f>
        <v>0.14285714285714285</v>
      </c>
      <c r="E69" s="13">
        <v>1</v>
      </c>
    </row>
    <row r="70" spans="2:13" x14ac:dyDescent="0.35">
      <c r="B70" s="106" t="s">
        <v>86</v>
      </c>
      <c r="C70" s="106"/>
      <c r="D70" s="106"/>
      <c r="E70" s="106"/>
    </row>
    <row r="71" spans="2:13" x14ac:dyDescent="0.35">
      <c r="B71" s="13" t="s">
        <v>103</v>
      </c>
      <c r="C71" s="13" t="s">
        <v>56</v>
      </c>
      <c r="D71" s="13" t="s">
        <v>105</v>
      </c>
      <c r="E71" s="13" t="s">
        <v>42</v>
      </c>
    </row>
    <row r="72" spans="2:13" x14ac:dyDescent="0.35">
      <c r="B72" s="13" t="s">
        <v>56</v>
      </c>
      <c r="C72" s="13">
        <v>1</v>
      </c>
      <c r="D72" s="13">
        <v>1</v>
      </c>
      <c r="E72" s="13">
        <v>3</v>
      </c>
      <c r="G72" s="13" t="s">
        <v>103</v>
      </c>
      <c r="H72" s="13" t="s">
        <v>56</v>
      </c>
      <c r="I72" s="13" t="s">
        <v>105</v>
      </c>
      <c r="J72" s="13" t="s">
        <v>42</v>
      </c>
    </row>
    <row r="73" spans="2:13" x14ac:dyDescent="0.35">
      <c r="B73" s="13" t="s">
        <v>105</v>
      </c>
      <c r="C73" s="13">
        <f>1/D72</f>
        <v>1</v>
      </c>
      <c r="D73" s="13">
        <v>1</v>
      </c>
      <c r="E73" s="13">
        <v>1</v>
      </c>
      <c r="G73" s="13" t="s">
        <v>56</v>
      </c>
      <c r="H73" s="13">
        <v>1</v>
      </c>
      <c r="I73" s="13">
        <f>GEOMEAN(D67,D72,D77)</f>
        <v>0.2732758832531984</v>
      </c>
      <c r="J73" s="13">
        <f>GEOMEAN(E67,E72,E77)</f>
        <v>0.52275795857471019</v>
      </c>
    </row>
    <row r="74" spans="2:13" x14ac:dyDescent="0.35">
      <c r="B74" s="13" t="s">
        <v>42</v>
      </c>
      <c r="C74" s="13">
        <f>1/E72</f>
        <v>0.33333333333333331</v>
      </c>
      <c r="D74" s="13">
        <f>1/E73</f>
        <v>1</v>
      </c>
      <c r="E74" s="13">
        <v>1</v>
      </c>
      <c r="G74" s="13" t="s">
        <v>105</v>
      </c>
      <c r="H74" s="13">
        <f>1/I73</f>
        <v>3.6593057100229722</v>
      </c>
      <c r="I74" s="13">
        <v>1</v>
      </c>
      <c r="J74" s="13">
        <f>GEOMEAN(E68,E73,E78)</f>
        <v>2.7589241763811208</v>
      </c>
    </row>
    <row r="75" spans="2:13" x14ac:dyDescent="0.35">
      <c r="B75" s="106" t="s">
        <v>87</v>
      </c>
      <c r="C75" s="106"/>
      <c r="D75" s="106"/>
      <c r="E75" s="106"/>
      <c r="G75" s="13" t="s">
        <v>42</v>
      </c>
      <c r="H75" s="13">
        <f>1/J73</f>
        <v>1.9129311827723892</v>
      </c>
      <c r="I75" s="13">
        <f>1/J74</f>
        <v>0.36246012433429736</v>
      </c>
      <c r="J75" s="13">
        <v>1</v>
      </c>
    </row>
    <row r="76" spans="2:13" x14ac:dyDescent="0.35">
      <c r="B76" s="13" t="s">
        <v>103</v>
      </c>
      <c r="C76" s="13" t="s">
        <v>56</v>
      </c>
      <c r="D76" s="13" t="s">
        <v>105</v>
      </c>
      <c r="E76" s="13" t="s">
        <v>42</v>
      </c>
      <c r="G76" s="13" t="s">
        <v>88</v>
      </c>
      <c r="H76" s="13">
        <f>SUM(H73:H75)</f>
        <v>6.5722368927953614</v>
      </c>
      <c r="I76" s="13">
        <f>SUM(I73:I75)</f>
        <v>1.6357360075874958</v>
      </c>
      <c r="J76" s="13">
        <f>SUM(J73:J75)</f>
        <v>4.2816821349558314</v>
      </c>
    </row>
    <row r="77" spans="2:13" x14ac:dyDescent="0.35">
      <c r="B77" s="13" t="s">
        <v>56</v>
      </c>
      <c r="C77" s="13">
        <v>1</v>
      </c>
      <c r="D77" s="70">
        <f>1/7</f>
        <v>0.14285714285714285</v>
      </c>
      <c r="E77" s="70">
        <f>1/3</f>
        <v>0.33333333333333331</v>
      </c>
    </row>
    <row r="78" spans="2:13" x14ac:dyDescent="0.35">
      <c r="B78" s="13" t="s">
        <v>105</v>
      </c>
      <c r="C78" s="13">
        <f>1/D77</f>
        <v>7</v>
      </c>
      <c r="D78" s="13">
        <v>1</v>
      </c>
      <c r="E78" s="13">
        <v>3</v>
      </c>
      <c r="G78" t="s">
        <v>89</v>
      </c>
    </row>
    <row r="79" spans="2:13" x14ac:dyDescent="0.35">
      <c r="B79" s="13" t="s">
        <v>42</v>
      </c>
      <c r="C79" s="13">
        <f>1/E77</f>
        <v>3</v>
      </c>
      <c r="D79" s="13">
        <f>1/E78</f>
        <v>0.33333333333333331</v>
      </c>
      <c r="E79" s="13">
        <v>1</v>
      </c>
      <c r="G79" s="13" t="s">
        <v>103</v>
      </c>
      <c r="H79" s="13" t="s">
        <v>56</v>
      </c>
      <c r="I79" s="13" t="s">
        <v>105</v>
      </c>
      <c r="J79" s="13" t="s">
        <v>42</v>
      </c>
      <c r="K79" s="13" t="s">
        <v>90</v>
      </c>
      <c r="L79" s="13" t="s">
        <v>91</v>
      </c>
      <c r="M79" s="13" t="s">
        <v>92</v>
      </c>
    </row>
    <row r="80" spans="2:13" x14ac:dyDescent="0.35">
      <c r="G80" s="13" t="s">
        <v>56</v>
      </c>
      <c r="H80" s="13">
        <f>H73/$H$76</f>
        <v>0.15215519712873149</v>
      </c>
      <c r="I80" s="13">
        <f>I73/$I$76</f>
        <v>0.16706600697520002</v>
      </c>
      <c r="J80" s="13">
        <f>J73/$J$76</f>
        <v>0.12209172519064235</v>
      </c>
      <c r="K80" s="61">
        <f>SUM(H80:J80)/3</f>
        <v>0.14710430976485797</v>
      </c>
      <c r="L80" s="13">
        <f>MMULT(H73:J73,$K$80:$K$82)</f>
        <v>0.44223496446972338</v>
      </c>
      <c r="M80" s="13">
        <f>L80/K80</f>
        <v>3.0062679004892741</v>
      </c>
    </row>
    <row r="81" spans="1:18" x14ac:dyDescent="0.35">
      <c r="G81" s="13" t="s">
        <v>105</v>
      </c>
      <c r="H81" s="13">
        <f t="shared" ref="H81:H82" si="23">H74/$H$76</f>
        <v>0.55678238166283811</v>
      </c>
      <c r="I81" s="13">
        <f t="shared" ref="I81:I82" si="24">I74/$I$76</f>
        <v>0.61134559327508708</v>
      </c>
      <c r="J81" s="13">
        <f t="shared" ref="J81:J82" si="25">J74/$J$76</f>
        <v>0.6443552065337006</v>
      </c>
      <c r="K81" s="61">
        <f>SUM(H81:J81)/3</f>
        <v>0.60416106049054197</v>
      </c>
      <c r="L81" s="13">
        <f>MMULT(H74:J74,$K$80:$K$82)</f>
        <v>1.8287006846876588</v>
      </c>
      <c r="M81" s="13">
        <f t="shared" ref="M81:M82" si="26">L81/K81</f>
        <v>3.0268430130251449</v>
      </c>
    </row>
    <row r="82" spans="1:18" x14ac:dyDescent="0.35">
      <c r="G82" s="13" t="s">
        <v>42</v>
      </c>
      <c r="H82" s="13">
        <f t="shared" si="23"/>
        <v>0.2910624212084304</v>
      </c>
      <c r="I82" s="13">
        <f t="shared" si="24"/>
        <v>0.22158839974971287</v>
      </c>
      <c r="J82" s="13">
        <f t="shared" si="25"/>
        <v>0.23355306827565697</v>
      </c>
      <c r="K82" s="61">
        <f>SUM(H82:J82)/3</f>
        <v>0.24873462974460012</v>
      </c>
      <c r="L82" s="13">
        <f>MMULT(H75:J75,$K$80:$K$82)</f>
        <v>0.7491193441173486</v>
      </c>
      <c r="M82" s="13">
        <f t="shared" si="26"/>
        <v>3.0117211458916753</v>
      </c>
    </row>
    <row r="83" spans="1:18" x14ac:dyDescent="0.35">
      <c r="G83" s="13" t="s">
        <v>88</v>
      </c>
      <c r="H83" s="13">
        <f>SUM(H80:H82)</f>
        <v>1</v>
      </c>
      <c r="I83" s="13">
        <f>SUM(I80:I82)</f>
        <v>1</v>
      </c>
      <c r="J83" s="13">
        <f>SUM(J80:J82)</f>
        <v>1</v>
      </c>
      <c r="N83" s="13" t="s">
        <v>93</v>
      </c>
      <c r="O83" s="13">
        <f>AVERAGE(M80:M82)</f>
        <v>3.0149440198020314</v>
      </c>
      <c r="P83" s="100" t="s">
        <v>122</v>
      </c>
      <c r="Q83" s="101"/>
      <c r="R83" s="102"/>
    </row>
    <row r="84" spans="1:18" x14ac:dyDescent="0.35">
      <c r="N84" s="13" t="s">
        <v>94</v>
      </c>
      <c r="O84" s="13">
        <v>3</v>
      </c>
      <c r="P84" s="103" t="str">
        <f>IF(O87&lt;=0.1,"Konsisten","Tidak Konsisten")</f>
        <v>Konsisten</v>
      </c>
      <c r="Q84" s="104"/>
      <c r="R84" s="105"/>
    </row>
    <row r="85" spans="1:18" x14ac:dyDescent="0.35">
      <c r="N85" s="13" t="s">
        <v>95</v>
      </c>
      <c r="O85" s="13">
        <f>(O83-O84)/(O84-1)</f>
        <v>7.4720099010157082E-3</v>
      </c>
      <c r="P85" s="57" t="s">
        <v>100</v>
      </c>
      <c r="Q85" s="58"/>
      <c r="R85" s="59"/>
    </row>
    <row r="86" spans="1:18" x14ac:dyDescent="0.35">
      <c r="N86" s="13" t="s">
        <v>98</v>
      </c>
      <c r="O86" s="13">
        <f>$D$2</f>
        <v>0.57999999999999996</v>
      </c>
    </row>
    <row r="87" spans="1:18" x14ac:dyDescent="0.35">
      <c r="N87" s="13" t="s">
        <v>99</v>
      </c>
      <c r="O87" s="13">
        <f>O85/O86</f>
        <v>1.2882775691406395E-2</v>
      </c>
    </row>
    <row r="89" spans="1:18" x14ac:dyDescent="0.35">
      <c r="A89" s="4" t="s">
        <v>85</v>
      </c>
    </row>
    <row r="90" spans="1:18" x14ac:dyDescent="0.35">
      <c r="B90" s="106" t="s">
        <v>81</v>
      </c>
      <c r="C90" s="106"/>
      <c r="D90" s="106"/>
      <c r="E90" s="106"/>
    </row>
    <row r="91" spans="1:18" x14ac:dyDescent="0.35">
      <c r="B91" s="13" t="s">
        <v>103</v>
      </c>
      <c r="C91" s="13" t="s">
        <v>106</v>
      </c>
      <c r="D91" s="13" t="s">
        <v>29</v>
      </c>
      <c r="E91" s="13" t="s">
        <v>107</v>
      </c>
    </row>
    <row r="92" spans="1:18" x14ac:dyDescent="0.35">
      <c r="B92" s="13" t="s">
        <v>106</v>
      </c>
      <c r="C92" s="13">
        <v>1</v>
      </c>
      <c r="D92" s="13">
        <v>7</v>
      </c>
      <c r="E92" s="13">
        <v>1</v>
      </c>
    </row>
    <row r="93" spans="1:18" x14ac:dyDescent="0.35">
      <c r="B93" s="13" t="s">
        <v>29</v>
      </c>
      <c r="C93" s="13">
        <f>1/D92</f>
        <v>0.14285714285714285</v>
      </c>
      <c r="D93" s="13">
        <v>1</v>
      </c>
      <c r="E93" s="70">
        <f>1/3</f>
        <v>0.33333333333333331</v>
      </c>
    </row>
    <row r="94" spans="1:18" x14ac:dyDescent="0.35">
      <c r="B94" s="13" t="s">
        <v>107</v>
      </c>
      <c r="C94" s="13">
        <f>1/E92</f>
        <v>1</v>
      </c>
      <c r="D94" s="13">
        <f>1/E93</f>
        <v>3</v>
      </c>
      <c r="E94" s="13">
        <v>1</v>
      </c>
    </row>
    <row r="95" spans="1:18" x14ac:dyDescent="0.35">
      <c r="B95" s="106" t="s">
        <v>86</v>
      </c>
      <c r="C95" s="106"/>
      <c r="D95" s="106"/>
      <c r="E95" s="106"/>
    </row>
    <row r="96" spans="1:18" x14ac:dyDescent="0.35">
      <c r="B96" s="13" t="s">
        <v>103</v>
      </c>
      <c r="C96" s="13" t="s">
        <v>106</v>
      </c>
      <c r="D96" s="13" t="s">
        <v>29</v>
      </c>
      <c r="E96" s="13" t="s">
        <v>107</v>
      </c>
    </row>
    <row r="97" spans="2:18" x14ac:dyDescent="0.35">
      <c r="B97" s="13" t="s">
        <v>106</v>
      </c>
      <c r="C97" s="13">
        <v>1</v>
      </c>
      <c r="D97" s="13">
        <v>7</v>
      </c>
      <c r="E97" s="13">
        <v>3</v>
      </c>
      <c r="G97" s="13" t="s">
        <v>103</v>
      </c>
      <c r="H97" s="13" t="s">
        <v>106</v>
      </c>
      <c r="I97" s="13" t="s">
        <v>29</v>
      </c>
      <c r="J97" s="13" t="s">
        <v>107</v>
      </c>
    </row>
    <row r="98" spans="2:18" x14ac:dyDescent="0.35">
      <c r="B98" s="13" t="s">
        <v>29</v>
      </c>
      <c r="C98" s="13">
        <f>1/D97</f>
        <v>0.14285714285714285</v>
      </c>
      <c r="D98" s="13">
        <v>1</v>
      </c>
      <c r="E98" s="13">
        <v>1</v>
      </c>
      <c r="G98" s="13" t="s">
        <v>106</v>
      </c>
      <c r="H98" s="13">
        <v>1</v>
      </c>
      <c r="I98" s="13">
        <f>GEOMEAN(D92,D97,D102)</f>
        <v>7</v>
      </c>
      <c r="J98" s="13">
        <f>GEOMEAN(E92,E97,E102)</f>
        <v>1.4422495703074083</v>
      </c>
    </row>
    <row r="99" spans="2:18" x14ac:dyDescent="0.35">
      <c r="B99" s="13" t="s">
        <v>107</v>
      </c>
      <c r="C99" s="13">
        <f>1/E97</f>
        <v>0.33333333333333331</v>
      </c>
      <c r="D99" s="13">
        <f>1/E98</f>
        <v>1</v>
      </c>
      <c r="E99" s="13">
        <v>1</v>
      </c>
      <c r="G99" s="13" t="s">
        <v>29</v>
      </c>
      <c r="H99" s="13">
        <f>1/I98</f>
        <v>0.14285714285714285</v>
      </c>
      <c r="I99" s="13">
        <v>1</v>
      </c>
      <c r="J99" s="13">
        <f>GEOMEAN(E93,E98,E103)</f>
        <v>0.48074985676913612</v>
      </c>
    </row>
    <row r="100" spans="2:18" x14ac:dyDescent="0.35">
      <c r="B100" s="106" t="s">
        <v>87</v>
      </c>
      <c r="C100" s="106"/>
      <c r="D100" s="106"/>
      <c r="E100" s="106"/>
      <c r="G100" s="13" t="s">
        <v>107</v>
      </c>
      <c r="H100" s="13">
        <f>1/J98</f>
        <v>0.69336127435063477</v>
      </c>
      <c r="I100" s="13">
        <f>1/J99</f>
        <v>2.0800838230519041</v>
      </c>
      <c r="J100" s="13">
        <v>1</v>
      </c>
    </row>
    <row r="101" spans="2:18" x14ac:dyDescent="0.35">
      <c r="B101" s="13" t="s">
        <v>103</v>
      </c>
      <c r="C101" s="13" t="s">
        <v>106</v>
      </c>
      <c r="D101" s="13" t="s">
        <v>29</v>
      </c>
      <c r="E101" s="13" t="s">
        <v>107</v>
      </c>
      <c r="G101" s="13" t="s">
        <v>88</v>
      </c>
      <c r="H101" s="13">
        <f>SUM(H98:H100)</f>
        <v>1.8362184172077776</v>
      </c>
      <c r="I101" s="13">
        <f>SUM(I98:I100)</f>
        <v>10.080083823051904</v>
      </c>
      <c r="J101" s="13">
        <f>SUM(J98:J100)</f>
        <v>2.9229994270765447</v>
      </c>
    </row>
    <row r="102" spans="2:18" x14ac:dyDescent="0.35">
      <c r="B102" s="13" t="s">
        <v>106</v>
      </c>
      <c r="C102" s="13">
        <v>1</v>
      </c>
      <c r="D102" s="13">
        <v>7</v>
      </c>
      <c r="E102" s="13">
        <v>1</v>
      </c>
    </row>
    <row r="103" spans="2:18" x14ac:dyDescent="0.35">
      <c r="B103" s="13" t="s">
        <v>29</v>
      </c>
      <c r="C103" s="13">
        <f>1/D102</f>
        <v>0.14285714285714285</v>
      </c>
      <c r="D103" s="13">
        <v>1</v>
      </c>
      <c r="E103" s="70">
        <f>1/3</f>
        <v>0.33333333333333331</v>
      </c>
      <c r="G103" t="s">
        <v>89</v>
      </c>
    </row>
    <row r="104" spans="2:18" x14ac:dyDescent="0.35">
      <c r="B104" s="13" t="s">
        <v>107</v>
      </c>
      <c r="C104" s="13">
        <f>1/E102</f>
        <v>1</v>
      </c>
      <c r="D104" s="13">
        <f>1/E103</f>
        <v>3</v>
      </c>
      <c r="E104" s="13">
        <v>1</v>
      </c>
      <c r="G104" s="13" t="s">
        <v>103</v>
      </c>
      <c r="H104" s="13" t="s">
        <v>106</v>
      </c>
      <c r="I104" s="13" t="s">
        <v>29</v>
      </c>
      <c r="J104" s="13" t="s">
        <v>107</v>
      </c>
      <c r="K104" s="13" t="s">
        <v>90</v>
      </c>
      <c r="L104" s="13" t="s">
        <v>91</v>
      </c>
      <c r="M104" s="13" t="s">
        <v>92</v>
      </c>
    </row>
    <row r="105" spans="2:18" x14ac:dyDescent="0.35">
      <c r="G105" s="13" t="s">
        <v>106</v>
      </c>
      <c r="H105" s="13">
        <f>H98/$H$101</f>
        <v>0.54459752207509027</v>
      </c>
      <c r="I105" s="13">
        <f>I98/$I$101</f>
        <v>0.69443866964596723</v>
      </c>
      <c r="J105" s="13">
        <f>J98/$J$101</f>
        <v>0.49341425008416195</v>
      </c>
      <c r="K105" s="61">
        <f>SUM(H105:J105)/3</f>
        <v>0.57748348060173982</v>
      </c>
      <c r="L105" s="13">
        <f>MMULT(H98:J98,$K$105:$K$107)</f>
        <v>1.8194716317513295</v>
      </c>
      <c r="M105" s="13">
        <f>L105/K105</f>
        <v>3.1506903536971027</v>
      </c>
    </row>
    <row r="106" spans="2:18" x14ac:dyDescent="0.35">
      <c r="G106" s="13" t="s">
        <v>29</v>
      </c>
      <c r="H106" s="13">
        <f t="shared" ref="H106:H107" si="27">H99/$H$101</f>
        <v>7.7799646010727183E-2</v>
      </c>
      <c r="I106" s="13">
        <f t="shared" ref="I106:I107" si="28">I99/$I$101</f>
        <v>9.9205524235138176E-2</v>
      </c>
      <c r="J106" s="13">
        <f t="shared" ref="J106:J107" si="29">J99/$J$101</f>
        <v>0.16447141669472065</v>
      </c>
      <c r="K106" s="61">
        <f>SUM(H106:J106)/3</f>
        <v>0.11382552898019534</v>
      </c>
      <c r="L106" s="13">
        <f t="shared" ref="L106:L107" si="30">MMULT(H99:J99,$K$105:$K$107)</f>
        <v>0.34472631849556556</v>
      </c>
      <c r="M106" s="13">
        <f t="shared" ref="M106:M107" si="31">L106/K106</f>
        <v>3.028550111597065</v>
      </c>
    </row>
    <row r="107" spans="2:18" x14ac:dyDescent="0.35">
      <c r="G107" s="13" t="s">
        <v>107</v>
      </c>
      <c r="H107" s="13">
        <f t="shared" si="27"/>
        <v>0.37760283191418254</v>
      </c>
      <c r="I107" s="13">
        <f t="shared" si="28"/>
        <v>0.20635580611889456</v>
      </c>
      <c r="J107" s="13">
        <f t="shared" si="29"/>
        <v>0.34211433322111728</v>
      </c>
      <c r="K107" s="61">
        <f>SUM(H107:J107)/3</f>
        <v>0.3086909904180648</v>
      </c>
      <c r="L107" s="13">
        <f t="shared" si="30"/>
        <v>0.94586231392655717</v>
      </c>
      <c r="M107" s="13">
        <f t="shared" si="31"/>
        <v>3.0641072894468406</v>
      </c>
    </row>
    <row r="108" spans="2:18" x14ac:dyDescent="0.35">
      <c r="G108" s="13" t="s">
        <v>88</v>
      </c>
      <c r="H108" s="13">
        <f>SUM(H105:H107)</f>
        <v>1</v>
      </c>
      <c r="I108" s="13">
        <f>SUM(I105:I107)</f>
        <v>1</v>
      </c>
      <c r="J108" s="13">
        <f>SUM(J105:J107)</f>
        <v>0.99999999999999989</v>
      </c>
      <c r="N108" s="13" t="s">
        <v>93</v>
      </c>
      <c r="O108" s="13">
        <f>AVERAGE(M105:M107)</f>
        <v>3.0811159182470029</v>
      </c>
      <c r="P108" s="100" t="s">
        <v>122</v>
      </c>
      <c r="Q108" s="101"/>
      <c r="R108" s="102"/>
    </row>
    <row r="109" spans="2:18" x14ac:dyDescent="0.35">
      <c r="N109" s="13" t="s">
        <v>94</v>
      </c>
      <c r="O109" s="13">
        <v>3</v>
      </c>
      <c r="P109" s="103" t="str">
        <f>IF(O112&lt;=0.1,"Konsisten","Tidak Konsisten")</f>
        <v>Konsisten</v>
      </c>
      <c r="Q109" s="104"/>
      <c r="R109" s="105"/>
    </row>
    <row r="110" spans="2:18" x14ac:dyDescent="0.35">
      <c r="N110" s="13" t="s">
        <v>95</v>
      </c>
      <c r="O110" s="13">
        <f>(O108-O109)/(O109-1)</f>
        <v>4.0557959123501464E-2</v>
      </c>
      <c r="P110" s="57" t="s">
        <v>100</v>
      </c>
      <c r="Q110" s="58"/>
      <c r="R110" s="59"/>
    </row>
    <row r="111" spans="2:18" x14ac:dyDescent="0.35">
      <c r="N111" s="13" t="s">
        <v>98</v>
      </c>
      <c r="O111" s="13">
        <f>$D$2</f>
        <v>0.57999999999999996</v>
      </c>
    </row>
    <row r="112" spans="2:18" x14ac:dyDescent="0.35">
      <c r="N112" s="13" t="s">
        <v>99</v>
      </c>
      <c r="O112" s="69">
        <f>O110/O111</f>
        <v>6.9927515730174944E-2</v>
      </c>
    </row>
    <row r="114" spans="1:23" x14ac:dyDescent="0.35">
      <c r="A114" s="4" t="s">
        <v>84</v>
      </c>
      <c r="W114" s="2">
        <v>0.19409999999999999</v>
      </c>
    </row>
    <row r="115" spans="1:23" x14ac:dyDescent="0.35">
      <c r="B115" s="106" t="s">
        <v>81</v>
      </c>
      <c r="C115" s="106"/>
      <c r="D115" s="106"/>
      <c r="E115" s="106"/>
      <c r="W115" s="2">
        <v>0.15670000000000001</v>
      </c>
    </row>
    <row r="116" spans="1:23" x14ac:dyDescent="0.35">
      <c r="B116" s="13" t="s">
        <v>103</v>
      </c>
      <c r="C116" s="13" t="s">
        <v>30</v>
      </c>
      <c r="D116" s="13" t="s">
        <v>108</v>
      </c>
      <c r="E116" s="13" t="s">
        <v>109</v>
      </c>
      <c r="W116" s="2">
        <v>6.5500000000000003E-2</v>
      </c>
    </row>
    <row r="117" spans="1:23" x14ac:dyDescent="0.35">
      <c r="B117" s="13" t="s">
        <v>30</v>
      </c>
      <c r="C117" s="13">
        <v>1</v>
      </c>
      <c r="D117" s="13">
        <v>1</v>
      </c>
      <c r="E117" s="13">
        <v>1</v>
      </c>
      <c r="W117" s="2">
        <v>3.3099999999999997E-2</v>
      </c>
    </row>
    <row r="118" spans="1:23" x14ac:dyDescent="0.35">
      <c r="B118" s="13" t="s">
        <v>108</v>
      </c>
      <c r="C118" s="13">
        <f>1/D117</f>
        <v>1</v>
      </c>
      <c r="D118" s="13">
        <v>1</v>
      </c>
      <c r="E118" s="13">
        <v>1</v>
      </c>
      <c r="W118" s="2">
        <v>9.1000000000000004E-3</v>
      </c>
    </row>
    <row r="119" spans="1:23" x14ac:dyDescent="0.35">
      <c r="B119" s="13" t="s">
        <v>109</v>
      </c>
      <c r="C119" s="13">
        <f>1/E117</f>
        <v>1</v>
      </c>
      <c r="D119" s="13">
        <f>1/E118</f>
        <v>1</v>
      </c>
      <c r="E119" s="13">
        <v>1</v>
      </c>
      <c r="W119" s="2">
        <v>5.28E-2</v>
      </c>
    </row>
    <row r="120" spans="1:23" x14ac:dyDescent="0.35">
      <c r="B120" s="106" t="s">
        <v>86</v>
      </c>
      <c r="C120" s="106"/>
      <c r="D120" s="106"/>
      <c r="E120" s="106"/>
      <c r="W120" s="2">
        <v>5.8299999999999998E-2</v>
      </c>
    </row>
    <row r="121" spans="1:23" x14ac:dyDescent="0.35">
      <c r="B121" s="13" t="s">
        <v>103</v>
      </c>
      <c r="C121" s="13" t="s">
        <v>30</v>
      </c>
      <c r="D121" s="13" t="s">
        <v>108</v>
      </c>
      <c r="E121" s="13" t="s">
        <v>109</v>
      </c>
      <c r="W121" s="2">
        <v>1.7100000000000001E-2</v>
      </c>
    </row>
    <row r="122" spans="1:23" x14ac:dyDescent="0.35">
      <c r="B122" s="13" t="s">
        <v>30</v>
      </c>
      <c r="C122" s="13">
        <v>1</v>
      </c>
      <c r="D122" s="13">
        <v>3</v>
      </c>
      <c r="E122" s="13">
        <v>1</v>
      </c>
      <c r="G122" s="13" t="s">
        <v>103</v>
      </c>
      <c r="H122" s="13" t="s">
        <v>30</v>
      </c>
      <c r="I122" s="13" t="s">
        <v>108</v>
      </c>
      <c r="J122" s="13" t="s">
        <v>109</v>
      </c>
      <c r="W122" s="2">
        <v>3.3399999999999999E-2</v>
      </c>
    </row>
    <row r="123" spans="1:23" x14ac:dyDescent="0.35">
      <c r="B123" s="13" t="s">
        <v>108</v>
      </c>
      <c r="C123" s="13">
        <f>1/D122</f>
        <v>0.33333333333333331</v>
      </c>
      <c r="D123" s="13">
        <v>1</v>
      </c>
      <c r="E123" s="13">
        <v>1</v>
      </c>
      <c r="G123" s="13" t="s">
        <v>30</v>
      </c>
      <c r="H123" s="13">
        <v>1</v>
      </c>
      <c r="I123" s="13">
        <f>GEOMEAN(D117,D122,D127)</f>
        <v>2.4662120743304699</v>
      </c>
      <c r="J123" s="13">
        <f>GEOMEAN(E117,E122,E127)</f>
        <v>1.7099759466766968</v>
      </c>
      <c r="W123" s="2">
        <v>0.113</v>
      </c>
    </row>
    <row r="124" spans="1:23" x14ac:dyDescent="0.35">
      <c r="B124" s="13" t="s">
        <v>109</v>
      </c>
      <c r="C124" s="13">
        <f>1/E122</f>
        <v>1</v>
      </c>
      <c r="D124" s="13">
        <f>1/E123</f>
        <v>1</v>
      </c>
      <c r="E124" s="13">
        <v>1</v>
      </c>
      <c r="G124" s="13" t="s">
        <v>108</v>
      </c>
      <c r="H124" s="13">
        <f>1/I123</f>
        <v>0.40548013303822672</v>
      </c>
      <c r="I124" s="13">
        <v>1</v>
      </c>
      <c r="J124" s="13">
        <f>GEOMEAN(E118,E123,E128)</f>
        <v>1.7099759466766968</v>
      </c>
      <c r="W124" s="2">
        <v>8.0299999999999996E-2</v>
      </c>
    </row>
    <row r="125" spans="1:23" x14ac:dyDescent="0.35">
      <c r="B125" s="106" t="s">
        <v>87</v>
      </c>
      <c r="C125" s="106"/>
      <c r="D125" s="106"/>
      <c r="E125" s="106"/>
      <c r="G125" s="13" t="s">
        <v>109</v>
      </c>
      <c r="H125" s="13">
        <f>1/J123</f>
        <v>0.58480354764257325</v>
      </c>
      <c r="I125" s="13">
        <f>1/J124</f>
        <v>0.58480354764257325</v>
      </c>
      <c r="J125" s="13">
        <v>1</v>
      </c>
      <c r="W125" s="2">
        <v>3.9E-2</v>
      </c>
    </row>
    <row r="126" spans="1:23" x14ac:dyDescent="0.35">
      <c r="B126" s="13" t="s">
        <v>103</v>
      </c>
      <c r="C126" s="13" t="s">
        <v>30</v>
      </c>
      <c r="D126" s="13" t="s">
        <v>108</v>
      </c>
      <c r="E126" s="13" t="s">
        <v>109</v>
      </c>
      <c r="G126" s="13" t="s">
        <v>88</v>
      </c>
      <c r="H126" s="13">
        <f>SUM(H123:H125)</f>
        <v>1.9902836806808</v>
      </c>
      <c r="I126" s="13">
        <f>SUM(I123:I125)</f>
        <v>4.0510156219730433</v>
      </c>
      <c r="J126" s="13">
        <f>SUM(J123:J125)</f>
        <v>4.4199518933533941</v>
      </c>
      <c r="W126" s="2">
        <v>2.7400000000000001E-2</v>
      </c>
    </row>
    <row r="127" spans="1:23" x14ac:dyDescent="0.35">
      <c r="B127" s="13" t="s">
        <v>30</v>
      </c>
      <c r="C127" s="13">
        <v>1</v>
      </c>
      <c r="D127" s="13">
        <v>5</v>
      </c>
      <c r="E127" s="13">
        <v>5</v>
      </c>
      <c r="W127" s="2">
        <v>6.3100000000000003E-2</v>
      </c>
    </row>
    <row r="128" spans="1:23" x14ac:dyDescent="0.35">
      <c r="B128" s="13" t="s">
        <v>108</v>
      </c>
      <c r="C128" s="13">
        <f>1/D127</f>
        <v>0.2</v>
      </c>
      <c r="D128" s="13">
        <v>1</v>
      </c>
      <c r="E128" s="13">
        <v>5</v>
      </c>
      <c r="G128" t="s">
        <v>89</v>
      </c>
      <c r="W128" s="2">
        <v>1.7000000000000001E-2</v>
      </c>
    </row>
    <row r="129" spans="1:23" x14ac:dyDescent="0.35">
      <c r="B129" s="13" t="s">
        <v>109</v>
      </c>
      <c r="C129" s="13">
        <f>1/E127</f>
        <v>0.2</v>
      </c>
      <c r="D129" s="13">
        <f>1/E128</f>
        <v>0.2</v>
      </c>
      <c r="E129" s="13">
        <v>1</v>
      </c>
      <c r="G129" s="13" t="s">
        <v>103</v>
      </c>
      <c r="H129" s="13" t="s">
        <v>30</v>
      </c>
      <c r="I129" s="13" t="s">
        <v>108</v>
      </c>
      <c r="J129" s="13" t="s">
        <v>109</v>
      </c>
      <c r="K129" s="13" t="s">
        <v>90</v>
      </c>
      <c r="L129" s="13" t="s">
        <v>91</v>
      </c>
      <c r="M129" s="13" t="s">
        <v>92</v>
      </c>
      <c r="W129" s="2">
        <v>4.0099999999999997E-2</v>
      </c>
    </row>
    <row r="130" spans="1:23" x14ac:dyDescent="0.35">
      <c r="G130" s="13" t="s">
        <v>30</v>
      </c>
      <c r="H130" s="13">
        <f>H123/$H$126</f>
        <v>0.50244093829776981</v>
      </c>
      <c r="I130" s="13">
        <f>I123/$I$126</f>
        <v>0.60878858648520928</v>
      </c>
      <c r="J130" s="13">
        <f>J123/$J$126</f>
        <v>0.38687659683538933</v>
      </c>
      <c r="K130" s="61">
        <f>SUM(H130:J130)/3</f>
        <v>0.49936870720612281</v>
      </c>
      <c r="L130" s="13">
        <f>MMULT(H123:J123,$K$130:$K$132)</f>
        <v>1.5665415309886672</v>
      </c>
      <c r="M130" s="13">
        <f>L130/K130</f>
        <v>3.1370438483283873</v>
      </c>
      <c r="W130" s="2">
        <f>SUM(W114:W129)</f>
        <v>1</v>
      </c>
    </row>
    <row r="131" spans="1:23" x14ac:dyDescent="0.35">
      <c r="G131" s="13" t="s">
        <v>108</v>
      </c>
      <c r="H131" s="13">
        <f t="shared" ref="H131:H132" si="32">H124/$H$126</f>
        <v>0.20372981850483116</v>
      </c>
      <c r="I131" s="13">
        <f t="shared" ref="I131:I132" si="33">I124/$I$126</f>
        <v>0.24685167704017663</v>
      </c>
      <c r="J131" s="13">
        <f t="shared" ref="J131:J132" si="34">J124/$J$126</f>
        <v>0.38687659683538933</v>
      </c>
      <c r="K131" s="61">
        <f>SUM(H131:J131)/3</f>
        <v>0.27915269746013238</v>
      </c>
      <c r="L131" s="13">
        <f t="shared" ref="L131:L132" si="35">MMULT(H124:J124,$K$130:$K$132)</f>
        <v>0.8603598580176437</v>
      </c>
      <c r="M131" s="13">
        <f t="shared" ref="M131:M132" si="36">L131/K131</f>
        <v>3.0820402806264027</v>
      </c>
    </row>
    <row r="132" spans="1:23" x14ac:dyDescent="0.35">
      <c r="G132" s="13" t="s">
        <v>109</v>
      </c>
      <c r="H132" s="13">
        <f t="shared" si="32"/>
        <v>0.29382924319739906</v>
      </c>
      <c r="I132" s="13">
        <f t="shared" si="33"/>
        <v>0.14435973647461406</v>
      </c>
      <c r="J132" s="13">
        <f t="shared" si="34"/>
        <v>0.22624680632922123</v>
      </c>
      <c r="K132" s="61">
        <f>SUM(H132:J132)/3</f>
        <v>0.22147859533374478</v>
      </c>
      <c r="L132" s="13">
        <f t="shared" si="35"/>
        <v>0.67676067469825019</v>
      </c>
      <c r="M132" s="13">
        <f t="shared" si="36"/>
        <v>3.0556482159300473</v>
      </c>
    </row>
    <row r="133" spans="1:23" x14ac:dyDescent="0.35">
      <c r="G133" s="13" t="s">
        <v>88</v>
      </c>
      <c r="H133" s="13">
        <f>SUM(H130:H132)</f>
        <v>1</v>
      </c>
      <c r="I133" s="13">
        <f>SUM(I130:I132)</f>
        <v>1</v>
      </c>
      <c r="J133" s="13">
        <f>SUM(J130:J132)</f>
        <v>0.99999999999999989</v>
      </c>
      <c r="N133" s="13" t="s">
        <v>93</v>
      </c>
      <c r="O133" s="13">
        <f>AVERAGE(M130:M132)</f>
        <v>3.0915774482949456</v>
      </c>
      <c r="P133" s="100" t="s">
        <v>122</v>
      </c>
      <c r="Q133" s="101"/>
      <c r="R133" s="102"/>
    </row>
    <row r="134" spans="1:23" x14ac:dyDescent="0.35">
      <c r="N134" s="13" t="s">
        <v>94</v>
      </c>
      <c r="O134" s="13">
        <v>3</v>
      </c>
      <c r="P134" s="103" t="str">
        <f>IF(O137&lt;=0.1,"Konsisten","Tidak Konsisten")</f>
        <v>Konsisten</v>
      </c>
      <c r="Q134" s="104"/>
      <c r="R134" s="105"/>
    </row>
    <row r="135" spans="1:23" x14ac:dyDescent="0.35">
      <c r="N135" s="13" t="s">
        <v>95</v>
      </c>
      <c r="O135" s="13">
        <f>(O133-O134)/(O134-1)</f>
        <v>4.5788724147472815E-2</v>
      </c>
      <c r="P135" s="57" t="s">
        <v>100</v>
      </c>
      <c r="Q135" s="58"/>
      <c r="R135" s="59"/>
    </row>
    <row r="136" spans="1:23" x14ac:dyDescent="0.35">
      <c r="N136" s="13" t="s">
        <v>98</v>
      </c>
      <c r="O136" s="13">
        <f>$D$2</f>
        <v>0.57999999999999996</v>
      </c>
    </row>
    <row r="137" spans="1:23" x14ac:dyDescent="0.35">
      <c r="N137" s="13" t="s">
        <v>99</v>
      </c>
      <c r="O137" s="13">
        <f>O135/O136</f>
        <v>7.8946076116332448E-2</v>
      </c>
    </row>
    <row r="139" spans="1:23" x14ac:dyDescent="0.35">
      <c r="A139" s="4"/>
    </row>
  </sheetData>
  <mergeCells count="25">
    <mergeCell ref="Q28:T28"/>
    <mergeCell ref="Q27:T27"/>
    <mergeCell ref="Q59:S59"/>
    <mergeCell ref="Q58:S58"/>
    <mergeCell ref="P134:R134"/>
    <mergeCell ref="P133:R133"/>
    <mergeCell ref="P108:R108"/>
    <mergeCell ref="P109:R109"/>
    <mergeCell ref="P83:R83"/>
    <mergeCell ref="P84:R84"/>
    <mergeCell ref="B125:E125"/>
    <mergeCell ref="B65:E65"/>
    <mergeCell ref="B70:E70"/>
    <mergeCell ref="B75:E75"/>
    <mergeCell ref="B5:F5"/>
    <mergeCell ref="B11:F11"/>
    <mergeCell ref="B17:F17"/>
    <mergeCell ref="B36:F36"/>
    <mergeCell ref="B42:F42"/>
    <mergeCell ref="B48:F48"/>
    <mergeCell ref="B90:E90"/>
    <mergeCell ref="B95:E95"/>
    <mergeCell ref="B100:E100"/>
    <mergeCell ref="B115:E115"/>
    <mergeCell ref="B120:E120"/>
  </mergeCells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5000B3A-A83A-4371-90E0-584E6A141B7E}">
  <dimension ref="A1:S58"/>
  <sheetViews>
    <sheetView topLeftCell="A24" zoomScale="70" zoomScaleNormal="70" workbookViewId="0">
      <selection activeCell="I48" sqref="I48"/>
    </sheetView>
  </sheetViews>
  <sheetFormatPr defaultRowHeight="14.5" x14ac:dyDescent="0.35"/>
  <cols>
    <col min="1" max="1" width="13.81640625" customWidth="1"/>
    <col min="2" max="2" width="12.7265625" customWidth="1"/>
    <col min="3" max="3" width="10.36328125" customWidth="1"/>
    <col min="5" max="5" width="18.1796875" bestFit="1" customWidth="1"/>
    <col min="6" max="6" width="14.54296875" customWidth="1"/>
    <col min="7" max="7" width="20.7265625" customWidth="1"/>
    <col min="8" max="9" width="15.08984375" customWidth="1"/>
    <col min="10" max="10" width="19.6328125" bestFit="1" customWidth="1"/>
    <col min="11" max="11" width="21.54296875" bestFit="1" customWidth="1"/>
    <col min="12" max="12" width="19.6328125" bestFit="1" customWidth="1"/>
    <col min="13" max="13" width="25.08984375" bestFit="1" customWidth="1"/>
    <col min="14" max="14" width="19.6328125" bestFit="1" customWidth="1"/>
    <col min="15" max="15" width="21.08984375" bestFit="1" customWidth="1"/>
    <col min="16" max="16" width="19.6328125" bestFit="1" customWidth="1"/>
    <col min="17" max="17" width="18.453125" customWidth="1"/>
    <col min="18" max="18" width="26.26953125" bestFit="1" customWidth="1"/>
    <col min="19" max="19" width="18.81640625" customWidth="1"/>
    <col min="20" max="20" width="11.6328125" bestFit="1" customWidth="1"/>
  </cols>
  <sheetData>
    <row r="1" spans="1:18" x14ac:dyDescent="0.35">
      <c r="A1" t="s">
        <v>110</v>
      </c>
    </row>
    <row r="3" spans="1:18" ht="15" thickBot="1" x14ac:dyDescent="0.4">
      <c r="A3" s="13" t="s">
        <v>46</v>
      </c>
      <c r="B3" s="13" t="s">
        <v>111</v>
      </c>
      <c r="C3" s="13"/>
      <c r="E3" s="107" t="s">
        <v>116</v>
      </c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</row>
    <row r="4" spans="1:18" x14ac:dyDescent="0.35">
      <c r="A4" s="108" t="s">
        <v>112</v>
      </c>
      <c r="B4" s="62" t="s">
        <v>21</v>
      </c>
      <c r="C4" s="63">
        <f>'[1]AHP edit'!M53/4</f>
        <v>0.11766992061476657</v>
      </c>
      <c r="E4" s="111" t="s">
        <v>9</v>
      </c>
      <c r="F4" s="93" t="s">
        <v>23</v>
      </c>
      <c r="G4" s="94"/>
      <c r="H4" s="94"/>
      <c r="I4" s="96"/>
      <c r="J4" s="93" t="s">
        <v>24</v>
      </c>
      <c r="K4" s="94"/>
      <c r="L4" s="95"/>
      <c r="M4" s="93" t="s">
        <v>25</v>
      </c>
      <c r="N4" s="94"/>
      <c r="O4" s="95"/>
      <c r="P4" s="93" t="s">
        <v>26</v>
      </c>
      <c r="Q4" s="94"/>
      <c r="R4" s="95"/>
    </row>
    <row r="5" spans="1:18" x14ac:dyDescent="0.35">
      <c r="A5" s="109"/>
      <c r="B5" s="62" t="s">
        <v>22</v>
      </c>
      <c r="C5" s="63">
        <f>'[1]AHP edit'!M54/4</f>
        <v>7.008390265740988E-2</v>
      </c>
      <c r="E5" s="112"/>
      <c r="F5" s="51" t="s">
        <v>21</v>
      </c>
      <c r="G5" s="48" t="s">
        <v>22</v>
      </c>
      <c r="H5" s="48" t="s">
        <v>19</v>
      </c>
      <c r="I5" s="52" t="s">
        <v>20</v>
      </c>
      <c r="J5" s="51" t="s">
        <v>27</v>
      </c>
      <c r="K5" s="48" t="s">
        <v>32</v>
      </c>
      <c r="L5" s="53" t="s">
        <v>42</v>
      </c>
      <c r="M5" s="54" t="s">
        <v>28</v>
      </c>
      <c r="N5" s="48" t="s">
        <v>29</v>
      </c>
      <c r="O5" s="53" t="s">
        <v>43</v>
      </c>
      <c r="P5" s="51" t="s">
        <v>30</v>
      </c>
      <c r="Q5" s="48" t="s">
        <v>31</v>
      </c>
      <c r="R5" s="53" t="s">
        <v>40</v>
      </c>
    </row>
    <row r="6" spans="1:18" x14ac:dyDescent="0.35">
      <c r="A6" s="109"/>
      <c r="B6" s="62" t="s">
        <v>104</v>
      </c>
      <c r="C6" s="63">
        <f>'[1]AHP edit'!M55/4</f>
        <v>3.6030333107416136E-2</v>
      </c>
      <c r="E6" s="112"/>
      <c r="F6" s="26" t="s">
        <v>33</v>
      </c>
      <c r="G6" s="27" t="s">
        <v>34</v>
      </c>
      <c r="H6" s="27" t="s">
        <v>35</v>
      </c>
      <c r="I6" s="32" t="s">
        <v>36</v>
      </c>
      <c r="J6" s="51" t="s">
        <v>80</v>
      </c>
      <c r="K6" s="48" t="s">
        <v>80</v>
      </c>
      <c r="L6" s="55" t="s">
        <v>80</v>
      </c>
      <c r="M6" s="56" t="s">
        <v>37</v>
      </c>
      <c r="N6" s="48" t="s">
        <v>80</v>
      </c>
      <c r="O6" s="55" t="s">
        <v>44</v>
      </c>
      <c r="P6" s="26" t="s">
        <v>80</v>
      </c>
      <c r="Q6" s="27" t="s">
        <v>39</v>
      </c>
      <c r="R6" s="55" t="s">
        <v>41</v>
      </c>
    </row>
    <row r="7" spans="1:18" x14ac:dyDescent="0.35">
      <c r="A7" s="110"/>
      <c r="B7" s="62" t="s">
        <v>20</v>
      </c>
      <c r="C7" s="63">
        <f>'[1]AHP edit'!M56/4</f>
        <v>2.6215843620407416E-2</v>
      </c>
      <c r="E7" s="21" t="s">
        <v>10</v>
      </c>
      <c r="F7" s="39">
        <v>200</v>
      </c>
      <c r="G7" s="14">
        <v>4500000</v>
      </c>
      <c r="H7" s="13">
        <v>180</v>
      </c>
      <c r="I7" s="33">
        <v>35</v>
      </c>
      <c r="J7" s="19">
        <v>7</v>
      </c>
      <c r="K7" s="13">
        <v>3</v>
      </c>
      <c r="L7" s="15">
        <v>7</v>
      </c>
      <c r="M7" s="19">
        <v>2</v>
      </c>
      <c r="N7" s="13">
        <v>5</v>
      </c>
      <c r="O7" s="15">
        <v>8</v>
      </c>
      <c r="P7" s="19">
        <v>6</v>
      </c>
      <c r="Q7" s="13">
        <v>2</v>
      </c>
      <c r="R7" s="15">
        <v>1</v>
      </c>
    </row>
    <row r="8" spans="1:18" x14ac:dyDescent="0.35">
      <c r="A8" s="108" t="s">
        <v>113</v>
      </c>
      <c r="B8" s="62" t="s">
        <v>56</v>
      </c>
      <c r="C8" s="63">
        <f>'[1]AHP edit'!K80/4</f>
        <v>3.6776077441214493E-2</v>
      </c>
      <c r="E8" s="21" t="s">
        <v>11</v>
      </c>
      <c r="F8" s="39">
        <v>240</v>
      </c>
      <c r="G8" s="14">
        <v>4200000</v>
      </c>
      <c r="H8" s="13">
        <v>200</v>
      </c>
      <c r="I8" s="33">
        <v>40</v>
      </c>
      <c r="J8" s="19">
        <v>3</v>
      </c>
      <c r="K8" s="13">
        <v>5</v>
      </c>
      <c r="L8" s="15">
        <v>5</v>
      </c>
      <c r="M8" s="19">
        <v>1</v>
      </c>
      <c r="N8" s="13">
        <v>3</v>
      </c>
      <c r="O8" s="15">
        <v>5</v>
      </c>
      <c r="P8" s="19">
        <v>5</v>
      </c>
      <c r="Q8" s="13">
        <v>5</v>
      </c>
      <c r="R8" s="15">
        <v>3</v>
      </c>
    </row>
    <row r="9" spans="1:18" x14ac:dyDescent="0.35">
      <c r="A9" s="109"/>
      <c r="B9" s="62" t="s">
        <v>105</v>
      </c>
      <c r="C9" s="63">
        <f>'[1]AHP edit'!K81/4</f>
        <v>0.15104026512263549</v>
      </c>
      <c r="E9" s="21" t="s">
        <v>12</v>
      </c>
      <c r="F9" s="39">
        <v>160</v>
      </c>
      <c r="G9" s="14">
        <v>4800000</v>
      </c>
      <c r="H9" s="13">
        <v>200</v>
      </c>
      <c r="I9" s="33">
        <v>38</v>
      </c>
      <c r="J9" s="19">
        <v>5</v>
      </c>
      <c r="K9" s="13">
        <v>5</v>
      </c>
      <c r="L9" s="15">
        <v>6</v>
      </c>
      <c r="M9" s="19">
        <v>1</v>
      </c>
      <c r="N9" s="13">
        <v>7</v>
      </c>
      <c r="O9" s="15">
        <v>5</v>
      </c>
      <c r="P9" s="19">
        <v>7</v>
      </c>
      <c r="Q9" s="13">
        <v>3</v>
      </c>
      <c r="R9" s="15">
        <v>5</v>
      </c>
    </row>
    <row r="10" spans="1:18" x14ac:dyDescent="0.35">
      <c r="A10" s="110"/>
      <c r="B10" s="62" t="s">
        <v>42</v>
      </c>
      <c r="C10" s="63">
        <f>'[1]AHP edit'!K82/4</f>
        <v>6.2183657436150029E-2</v>
      </c>
      <c r="E10" s="21" t="s">
        <v>13</v>
      </c>
      <c r="F10" s="39">
        <v>220</v>
      </c>
      <c r="G10" s="14">
        <v>4300000</v>
      </c>
      <c r="H10" s="13">
        <v>220</v>
      </c>
      <c r="I10" s="33">
        <v>45</v>
      </c>
      <c r="J10" s="19">
        <v>5</v>
      </c>
      <c r="K10" s="13">
        <v>7</v>
      </c>
      <c r="L10" s="15">
        <v>6</v>
      </c>
      <c r="M10" s="19">
        <v>2</v>
      </c>
      <c r="N10" s="13">
        <v>5</v>
      </c>
      <c r="O10" s="15">
        <v>7</v>
      </c>
      <c r="P10" s="19">
        <v>7</v>
      </c>
      <c r="Q10" s="13">
        <v>0</v>
      </c>
      <c r="R10" s="15">
        <v>1</v>
      </c>
    </row>
    <row r="11" spans="1:18" ht="15" thickBot="1" x14ac:dyDescent="0.4">
      <c r="A11" s="108" t="s">
        <v>115</v>
      </c>
      <c r="B11" s="62" t="s">
        <v>106</v>
      </c>
      <c r="C11" s="63">
        <f>'[1]AHP edit'!K105/4</f>
        <v>0.14437087015043495</v>
      </c>
      <c r="E11" s="22" t="s">
        <v>14</v>
      </c>
      <c r="F11" s="40">
        <v>180</v>
      </c>
      <c r="G11" s="16">
        <v>4600000</v>
      </c>
      <c r="H11" s="17">
        <v>220</v>
      </c>
      <c r="I11" s="34">
        <v>37</v>
      </c>
      <c r="J11" s="20">
        <v>5</v>
      </c>
      <c r="K11" s="17">
        <v>7</v>
      </c>
      <c r="L11" s="18">
        <v>5</v>
      </c>
      <c r="M11" s="20">
        <v>1</v>
      </c>
      <c r="N11" s="17">
        <v>7</v>
      </c>
      <c r="O11" s="18">
        <v>6</v>
      </c>
      <c r="P11" s="20">
        <v>5</v>
      </c>
      <c r="Q11" s="17">
        <v>2</v>
      </c>
      <c r="R11" s="18">
        <v>3</v>
      </c>
    </row>
    <row r="12" spans="1:18" x14ac:dyDescent="0.35">
      <c r="A12" s="109"/>
      <c r="B12" s="62" t="s">
        <v>29</v>
      </c>
      <c r="C12" s="63">
        <f>'[1]AHP edit'!K106/4</f>
        <v>2.8456382245048834E-2</v>
      </c>
      <c r="G12" s="72"/>
    </row>
    <row r="13" spans="1:18" ht="15" thickBot="1" x14ac:dyDescent="0.4">
      <c r="A13" s="110"/>
      <c r="B13" s="62" t="s">
        <v>107</v>
      </c>
      <c r="C13" s="63">
        <f>'[1]AHP edit'!K107/4</f>
        <v>7.7172747604516201E-2</v>
      </c>
      <c r="E13" s="107" t="s">
        <v>123</v>
      </c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</row>
    <row r="14" spans="1:18" ht="14.5" customHeight="1" x14ac:dyDescent="0.35">
      <c r="A14" s="108" t="s">
        <v>114</v>
      </c>
      <c r="B14" s="62" t="s">
        <v>30</v>
      </c>
      <c r="C14" s="63">
        <f>'[1]AHP edit'!K130/4</f>
        <v>0.1248421768015307</v>
      </c>
      <c r="E14" s="49" t="s">
        <v>9</v>
      </c>
      <c r="F14" s="93" t="s">
        <v>23</v>
      </c>
      <c r="G14" s="94"/>
      <c r="H14" s="94"/>
      <c r="I14" s="96"/>
      <c r="J14" s="93" t="s">
        <v>24</v>
      </c>
      <c r="K14" s="94"/>
      <c r="L14" s="95"/>
      <c r="M14" s="93" t="s">
        <v>25</v>
      </c>
      <c r="N14" s="94"/>
      <c r="O14" s="95"/>
      <c r="P14" s="93" t="s">
        <v>26</v>
      </c>
      <c r="Q14" s="94"/>
      <c r="R14" s="95"/>
    </row>
    <row r="15" spans="1:18" x14ac:dyDescent="0.35">
      <c r="A15" s="109"/>
      <c r="B15" s="62" t="s">
        <v>108</v>
      </c>
      <c r="C15" s="63">
        <f>'[1]AHP edit'!K131/4</f>
        <v>6.9788174365033095E-2</v>
      </c>
      <c r="E15" s="50"/>
      <c r="F15" s="51" t="s">
        <v>21</v>
      </c>
      <c r="G15" s="48" t="s">
        <v>22</v>
      </c>
      <c r="H15" s="48" t="s">
        <v>19</v>
      </c>
      <c r="I15" s="52" t="s">
        <v>20</v>
      </c>
      <c r="J15" s="51" t="s">
        <v>27</v>
      </c>
      <c r="K15" s="48" t="s">
        <v>32</v>
      </c>
      <c r="L15" s="53" t="s">
        <v>42</v>
      </c>
      <c r="M15" s="54" t="s">
        <v>28</v>
      </c>
      <c r="N15" s="48" t="s">
        <v>29</v>
      </c>
      <c r="O15" s="53" t="s">
        <v>43</v>
      </c>
      <c r="P15" s="51" t="s">
        <v>30</v>
      </c>
      <c r="Q15" s="48" t="s">
        <v>31</v>
      </c>
      <c r="R15" s="53" t="s">
        <v>40</v>
      </c>
    </row>
    <row r="16" spans="1:18" ht="14.5" customHeight="1" x14ac:dyDescent="0.35">
      <c r="A16" s="110"/>
      <c r="B16" s="62" t="s">
        <v>109</v>
      </c>
      <c r="C16" s="63">
        <f>'[1]AHP edit'!K132/4</f>
        <v>5.5369648833436196E-2</v>
      </c>
      <c r="E16" s="21" t="s">
        <v>10</v>
      </c>
      <c r="F16" s="39">
        <f>F7^2</f>
        <v>40000</v>
      </c>
      <c r="G16" s="39">
        <f t="shared" ref="G16:R16" si="0">G7^2</f>
        <v>20250000000000</v>
      </c>
      <c r="H16" s="39">
        <f t="shared" si="0"/>
        <v>32400</v>
      </c>
      <c r="I16" s="39">
        <f t="shared" si="0"/>
        <v>1225</v>
      </c>
      <c r="J16" s="39">
        <f t="shared" si="0"/>
        <v>49</v>
      </c>
      <c r="K16" s="39">
        <f t="shared" si="0"/>
        <v>9</v>
      </c>
      <c r="L16" s="39">
        <f t="shared" si="0"/>
        <v>49</v>
      </c>
      <c r="M16" s="39">
        <f t="shared" si="0"/>
        <v>4</v>
      </c>
      <c r="N16" s="39">
        <f t="shared" si="0"/>
        <v>25</v>
      </c>
      <c r="O16" s="39">
        <f t="shared" si="0"/>
        <v>64</v>
      </c>
      <c r="P16" s="39">
        <f t="shared" si="0"/>
        <v>36</v>
      </c>
      <c r="Q16" s="39">
        <f t="shared" si="0"/>
        <v>4</v>
      </c>
      <c r="R16" s="39">
        <f t="shared" si="0"/>
        <v>1</v>
      </c>
    </row>
    <row r="17" spans="3:19" x14ac:dyDescent="0.35">
      <c r="C17" s="2"/>
      <c r="E17" s="21" t="s">
        <v>11</v>
      </c>
      <c r="F17" s="39">
        <f t="shared" ref="F17:R20" si="1">F8^2</f>
        <v>57600</v>
      </c>
      <c r="G17" s="39">
        <f t="shared" si="1"/>
        <v>17640000000000</v>
      </c>
      <c r="H17" s="39">
        <f t="shared" si="1"/>
        <v>40000</v>
      </c>
      <c r="I17" s="39">
        <f t="shared" si="1"/>
        <v>1600</v>
      </c>
      <c r="J17" s="39">
        <f t="shared" si="1"/>
        <v>9</v>
      </c>
      <c r="K17" s="39">
        <f t="shared" si="1"/>
        <v>25</v>
      </c>
      <c r="L17" s="39">
        <f t="shared" si="1"/>
        <v>25</v>
      </c>
      <c r="M17" s="39">
        <f t="shared" si="1"/>
        <v>1</v>
      </c>
      <c r="N17" s="39">
        <f t="shared" si="1"/>
        <v>9</v>
      </c>
      <c r="O17" s="39">
        <f t="shared" si="1"/>
        <v>25</v>
      </c>
      <c r="P17" s="39">
        <f t="shared" si="1"/>
        <v>25</v>
      </c>
      <c r="Q17" s="39">
        <f t="shared" si="1"/>
        <v>25</v>
      </c>
      <c r="R17" s="39">
        <f t="shared" si="1"/>
        <v>9</v>
      </c>
    </row>
    <row r="18" spans="3:19" x14ac:dyDescent="0.35">
      <c r="E18" s="21" t="s">
        <v>12</v>
      </c>
      <c r="F18" s="39">
        <f t="shared" si="1"/>
        <v>25600</v>
      </c>
      <c r="G18" s="39">
        <f t="shared" si="1"/>
        <v>23040000000000</v>
      </c>
      <c r="H18" s="39">
        <f t="shared" si="1"/>
        <v>40000</v>
      </c>
      <c r="I18" s="39">
        <f t="shared" si="1"/>
        <v>1444</v>
      </c>
      <c r="J18" s="39">
        <f t="shared" si="1"/>
        <v>25</v>
      </c>
      <c r="K18" s="39">
        <f t="shared" si="1"/>
        <v>25</v>
      </c>
      <c r="L18" s="39">
        <f t="shared" si="1"/>
        <v>36</v>
      </c>
      <c r="M18" s="39">
        <f t="shared" si="1"/>
        <v>1</v>
      </c>
      <c r="N18" s="39">
        <f t="shared" si="1"/>
        <v>49</v>
      </c>
      <c r="O18" s="39">
        <f t="shared" si="1"/>
        <v>25</v>
      </c>
      <c r="P18" s="39">
        <f t="shared" si="1"/>
        <v>49</v>
      </c>
      <c r="Q18" s="39">
        <f t="shared" si="1"/>
        <v>9</v>
      </c>
      <c r="R18" s="39">
        <f t="shared" si="1"/>
        <v>25</v>
      </c>
    </row>
    <row r="19" spans="3:19" x14ac:dyDescent="0.35">
      <c r="E19" s="21" t="s">
        <v>13</v>
      </c>
      <c r="F19" s="39">
        <f t="shared" si="1"/>
        <v>48400</v>
      </c>
      <c r="G19" s="39">
        <f t="shared" si="1"/>
        <v>18490000000000</v>
      </c>
      <c r="H19" s="39">
        <f t="shared" si="1"/>
        <v>48400</v>
      </c>
      <c r="I19" s="39">
        <f t="shared" si="1"/>
        <v>2025</v>
      </c>
      <c r="J19" s="39">
        <f t="shared" si="1"/>
        <v>25</v>
      </c>
      <c r="K19" s="39">
        <f t="shared" si="1"/>
        <v>49</v>
      </c>
      <c r="L19" s="39">
        <f t="shared" si="1"/>
        <v>36</v>
      </c>
      <c r="M19" s="39">
        <f t="shared" si="1"/>
        <v>4</v>
      </c>
      <c r="N19" s="39">
        <f t="shared" si="1"/>
        <v>25</v>
      </c>
      <c r="O19" s="39">
        <f t="shared" si="1"/>
        <v>49</v>
      </c>
      <c r="P19" s="39">
        <f t="shared" si="1"/>
        <v>49</v>
      </c>
      <c r="Q19" s="64">
        <f>Q10^2</f>
        <v>0</v>
      </c>
      <c r="R19" s="39">
        <f t="shared" si="1"/>
        <v>1</v>
      </c>
    </row>
    <row r="20" spans="3:19" ht="15" thickBot="1" x14ac:dyDescent="0.4">
      <c r="E20" s="22" t="s">
        <v>14</v>
      </c>
      <c r="F20" s="39">
        <f t="shared" si="1"/>
        <v>32400</v>
      </c>
      <c r="G20" s="39">
        <f t="shared" si="1"/>
        <v>21160000000000</v>
      </c>
      <c r="H20" s="39">
        <f t="shared" si="1"/>
        <v>48400</v>
      </c>
      <c r="I20" s="39">
        <f t="shared" si="1"/>
        <v>1369</v>
      </c>
      <c r="J20" s="39">
        <f t="shared" si="1"/>
        <v>25</v>
      </c>
      <c r="K20" s="39">
        <f t="shared" si="1"/>
        <v>49</v>
      </c>
      <c r="L20" s="39">
        <f t="shared" si="1"/>
        <v>25</v>
      </c>
      <c r="M20" s="39">
        <f t="shared" si="1"/>
        <v>1</v>
      </c>
      <c r="N20" s="39">
        <f t="shared" si="1"/>
        <v>49</v>
      </c>
      <c r="O20" s="39">
        <f t="shared" si="1"/>
        <v>36</v>
      </c>
      <c r="P20" s="39">
        <f t="shared" si="1"/>
        <v>25</v>
      </c>
      <c r="Q20" s="39">
        <f t="shared" si="1"/>
        <v>4</v>
      </c>
      <c r="R20" s="39">
        <f t="shared" si="1"/>
        <v>9</v>
      </c>
    </row>
    <row r="21" spans="3:19" ht="15" thickBot="1" x14ac:dyDescent="0.4">
      <c r="E21" s="71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</row>
    <row r="22" spans="3:19" ht="15" thickBot="1" x14ac:dyDescent="0.4">
      <c r="E22" s="107" t="s">
        <v>128</v>
      </c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</row>
    <row r="23" spans="3:19" x14ac:dyDescent="0.35">
      <c r="E23" s="49" t="s">
        <v>9</v>
      </c>
      <c r="F23" s="93" t="s">
        <v>23</v>
      </c>
      <c r="G23" s="94"/>
      <c r="H23" s="94"/>
      <c r="I23" s="96"/>
      <c r="J23" s="93" t="s">
        <v>24</v>
      </c>
      <c r="K23" s="94"/>
      <c r="L23" s="95"/>
      <c r="M23" s="93" t="s">
        <v>25</v>
      </c>
      <c r="N23" s="94"/>
      <c r="O23" s="95"/>
      <c r="P23" s="93" t="s">
        <v>26</v>
      </c>
      <c r="Q23" s="94"/>
      <c r="R23" s="95"/>
    </row>
    <row r="24" spans="3:19" x14ac:dyDescent="0.35">
      <c r="E24" s="50"/>
      <c r="F24" s="51" t="s">
        <v>21</v>
      </c>
      <c r="G24" s="48" t="s">
        <v>22</v>
      </c>
      <c r="H24" s="48" t="s">
        <v>19</v>
      </c>
      <c r="I24" s="52" t="s">
        <v>20</v>
      </c>
      <c r="J24" s="51" t="s">
        <v>27</v>
      </c>
      <c r="K24" s="48" t="s">
        <v>32</v>
      </c>
      <c r="L24" s="53" t="s">
        <v>42</v>
      </c>
      <c r="M24" s="54" t="s">
        <v>28</v>
      </c>
      <c r="N24" s="48" t="s">
        <v>29</v>
      </c>
      <c r="O24" s="53" t="s">
        <v>43</v>
      </c>
      <c r="P24" s="51" t="s">
        <v>30</v>
      </c>
      <c r="Q24" s="48" t="s">
        <v>31</v>
      </c>
      <c r="R24" s="53" t="s">
        <v>40</v>
      </c>
    </row>
    <row r="25" spans="3:19" x14ac:dyDescent="0.35">
      <c r="E25" s="21" t="s">
        <v>10</v>
      </c>
      <c r="F25" s="65">
        <f>(F7/SQRT(SUM($F$16:$F$20)))*$C$4</f>
        <v>5.2105116638379294E-2</v>
      </c>
      <c r="G25" s="65">
        <f>(G7/SQRT(SUM($G$16:$G$20)))*$C$5</f>
        <v>3.1446692638433325E-2</v>
      </c>
      <c r="H25" s="65">
        <f>H7/SQRT(SUM($H$16:$H$20))*$C$6</f>
        <v>1.4179468177678555E-2</v>
      </c>
      <c r="I25" s="65">
        <f>I7/SQRT(SUM($I$16:$I$20))*$C$7</f>
        <v>1.0481717953708856E-2</v>
      </c>
      <c r="J25" s="65">
        <f>J7/SQRT(SUM($J$16:$J$20))*$C$8</f>
        <v>2.2322232372487722E-2</v>
      </c>
      <c r="K25" s="65">
        <f>K7/SQRT(SUM($K$16:$K$20))*$C$9</f>
        <v>3.6162976386266345E-2</v>
      </c>
      <c r="L25" s="65">
        <f>L7/SQRT(SUM($L$16:$L$20))*$C$10</f>
        <v>3.3287121946096607E-2</v>
      </c>
      <c r="M25" s="65">
        <f>M7/SQRT(SUM($M$16:$M$20))*$C$11</f>
        <v>8.7058910353838725E-2</v>
      </c>
      <c r="N25" s="65">
        <f>N7/SQRT(SUM($N$16:$N$20))*$C$12</f>
        <v>1.1355332724585391E-2</v>
      </c>
      <c r="O25" s="65">
        <f>O7/SQRT(SUM($O$16:$O$20))*$C$13</f>
        <v>4.3765048252554888E-2</v>
      </c>
      <c r="P25" s="65">
        <f>P7/SQRT(SUM($P$16:$P$20))*$C$14</f>
        <v>5.5220924274759615E-2</v>
      </c>
      <c r="Q25" s="65">
        <f>Q7/SQRT(SUM($Q$16:$Q$20))*$C$15</f>
        <v>2.1537098184526385E-2</v>
      </c>
      <c r="R25" s="65">
        <f>R7/SQRT(SUM($R$16:$R$20))*$C$16</f>
        <v>8.2540199121236852E-3</v>
      </c>
    </row>
    <row r="26" spans="3:19" x14ac:dyDescent="0.35">
      <c r="E26" s="21" t="s">
        <v>11</v>
      </c>
      <c r="F26" s="65">
        <f>(F8/SQRT(SUM($F$16:$F$20)))*$C$4</f>
        <v>6.2526139966055161E-2</v>
      </c>
      <c r="G26" s="65">
        <f t="shared" ref="G26:G29" si="2">(G8/SQRT(SUM($G$16:$G$20)))*$C$5</f>
        <v>2.9350246462537768E-2</v>
      </c>
      <c r="H26" s="65">
        <f t="shared" ref="H26:H29" si="3">H8/SQRT(SUM($H$16:$H$20))*$C$6</f>
        <v>1.5754964641865061E-2</v>
      </c>
      <c r="I26" s="65">
        <f t="shared" ref="I26:I29" si="4">I8/SQRT(SUM($I$16:$I$20))*$C$7</f>
        <v>1.1979106232810122E-2</v>
      </c>
      <c r="J26" s="65">
        <f t="shared" ref="J26:J29" si="5">J8/SQRT(SUM($J$16:$J$20))*$C$8</f>
        <v>9.5666710167804508E-3</v>
      </c>
      <c r="K26" s="65">
        <f t="shared" ref="K26:K29" si="6">K8/SQRT(SUM($K$16:$K$20))*$C$9</f>
        <v>6.0271627310443901E-2</v>
      </c>
      <c r="L26" s="65">
        <f t="shared" ref="L26:L29" si="7">L8/SQRT(SUM($L$16:$L$20))*$C$10</f>
        <v>2.3776515675783292E-2</v>
      </c>
      <c r="M26" s="65">
        <f t="shared" ref="M26:M29" si="8">M8/SQRT(SUM($M$16:$M$20))*$C$11</f>
        <v>4.3529455176919363E-2</v>
      </c>
      <c r="N26" s="65">
        <f t="shared" ref="N26:N29" si="9">N8/SQRT(SUM($N$16:$N$20))*$C$12</f>
        <v>6.8131996347512349E-3</v>
      </c>
      <c r="O26" s="65">
        <f t="shared" ref="O26:O29" si="10">O8/SQRT(SUM($O$16:$O$20))*$C$13</f>
        <v>2.7353155157846806E-2</v>
      </c>
      <c r="P26" s="65">
        <f t="shared" ref="P26:P29" si="11">P8/SQRT(SUM($P$16:$P$20))*$C$14</f>
        <v>4.6017436895633014E-2</v>
      </c>
      <c r="Q26" s="65">
        <f t="shared" ref="Q26:Q29" si="12">Q8/SQRT(SUM($Q$16:$Q$20))*$C$15</f>
        <v>5.3842745461315962E-2</v>
      </c>
      <c r="R26" s="65">
        <f t="shared" ref="R26:R28" si="13">R8/SQRT(SUM($R$16:$R$20))*$C$16</f>
        <v>2.476205973637105E-2</v>
      </c>
    </row>
    <row r="27" spans="3:19" x14ac:dyDescent="0.35">
      <c r="E27" s="21" t="s">
        <v>12</v>
      </c>
      <c r="F27" s="65">
        <f t="shared" ref="F27:F29" si="14">(F9/SQRT(SUM($F$16:$F$20)))*$C$4</f>
        <v>4.1684093310703434E-2</v>
      </c>
      <c r="G27" s="65">
        <f t="shared" si="2"/>
        <v>3.3543138814328875E-2</v>
      </c>
      <c r="H27" s="65">
        <f t="shared" si="3"/>
        <v>1.5754964641865061E-2</v>
      </c>
      <c r="I27" s="65">
        <f t="shared" si="4"/>
        <v>1.1380150921169615E-2</v>
      </c>
      <c r="J27" s="65">
        <f t="shared" si="5"/>
        <v>1.5944451694634085E-2</v>
      </c>
      <c r="K27" s="65">
        <f t="shared" si="6"/>
        <v>6.0271627310443901E-2</v>
      </c>
      <c r="L27" s="65">
        <f t="shared" si="7"/>
        <v>2.8531818810939948E-2</v>
      </c>
      <c r="M27" s="65">
        <f t="shared" si="8"/>
        <v>4.3529455176919363E-2</v>
      </c>
      <c r="N27" s="65">
        <f t="shared" si="9"/>
        <v>1.5897465814419549E-2</v>
      </c>
      <c r="O27" s="65">
        <f t="shared" si="10"/>
        <v>2.7353155157846806E-2</v>
      </c>
      <c r="P27" s="65">
        <f t="shared" si="11"/>
        <v>6.4424411653886224E-2</v>
      </c>
      <c r="Q27" s="65">
        <f t="shared" si="12"/>
        <v>3.2305647276789577E-2</v>
      </c>
      <c r="R27" s="65">
        <f t="shared" si="13"/>
        <v>4.1270099560618424E-2</v>
      </c>
    </row>
    <row r="28" spans="3:19" x14ac:dyDescent="0.35">
      <c r="E28" s="21" t="s">
        <v>13</v>
      </c>
      <c r="F28" s="65">
        <f t="shared" si="14"/>
        <v>5.7315628302217231E-2</v>
      </c>
      <c r="G28" s="65">
        <f t="shared" si="2"/>
        <v>3.0049061854502953E-2</v>
      </c>
      <c r="H28" s="65">
        <f t="shared" si="3"/>
        <v>1.7330461106051565E-2</v>
      </c>
      <c r="I28" s="65">
        <f t="shared" si="4"/>
        <v>1.3476494511911385E-2</v>
      </c>
      <c r="J28" s="65">
        <f t="shared" si="5"/>
        <v>1.5944451694634085E-2</v>
      </c>
      <c r="K28" s="65">
        <f t="shared" si="6"/>
        <v>8.4380278234621478E-2</v>
      </c>
      <c r="L28" s="65">
        <f t="shared" si="7"/>
        <v>2.8531818810939948E-2</v>
      </c>
      <c r="M28" s="65">
        <f t="shared" si="8"/>
        <v>8.7058910353838725E-2</v>
      </c>
      <c r="N28" s="65">
        <f t="shared" si="9"/>
        <v>1.1355332724585391E-2</v>
      </c>
      <c r="O28" s="65">
        <f t="shared" si="10"/>
        <v>3.8294417220985526E-2</v>
      </c>
      <c r="P28" s="65">
        <f t="shared" si="11"/>
        <v>6.4424411653886224E-2</v>
      </c>
      <c r="Q28" s="65">
        <f t="shared" si="12"/>
        <v>0</v>
      </c>
      <c r="R28" s="65">
        <f t="shared" si="13"/>
        <v>8.2540199121236852E-3</v>
      </c>
    </row>
    <row r="29" spans="3:19" ht="15" thickBot="1" x14ac:dyDescent="0.4">
      <c r="E29" s="22" t="s">
        <v>14</v>
      </c>
      <c r="F29" s="65">
        <f t="shared" si="14"/>
        <v>4.6894604974541371E-2</v>
      </c>
      <c r="G29" s="65">
        <f t="shared" si="2"/>
        <v>3.2145508030398506E-2</v>
      </c>
      <c r="H29" s="65">
        <f t="shared" si="3"/>
        <v>1.7330461106051565E-2</v>
      </c>
      <c r="I29" s="65">
        <f t="shared" si="4"/>
        <v>1.1080673265349361E-2</v>
      </c>
      <c r="J29" s="65">
        <f t="shared" si="5"/>
        <v>1.5944451694634085E-2</v>
      </c>
      <c r="K29" s="65">
        <f t="shared" si="6"/>
        <v>8.4380278234621478E-2</v>
      </c>
      <c r="L29" s="65">
        <f t="shared" si="7"/>
        <v>2.3776515675783292E-2</v>
      </c>
      <c r="M29" s="65">
        <f t="shared" si="8"/>
        <v>4.3529455176919363E-2</v>
      </c>
      <c r="N29" s="65">
        <f t="shared" si="9"/>
        <v>1.5897465814419549E-2</v>
      </c>
      <c r="O29" s="65">
        <f t="shared" si="10"/>
        <v>3.2823786189416164E-2</v>
      </c>
      <c r="P29" s="65">
        <f t="shared" si="11"/>
        <v>4.6017436895633014E-2</v>
      </c>
      <c r="Q29" s="65">
        <f t="shared" si="12"/>
        <v>2.1537098184526385E-2</v>
      </c>
      <c r="R29" s="65">
        <f>R11/SQRT(SUM($R$16:$R$20))*$C$16</f>
        <v>2.476205973637105E-2</v>
      </c>
    </row>
    <row r="30" spans="3:19" x14ac:dyDescent="0.35">
      <c r="E30" s="6" t="s">
        <v>124</v>
      </c>
      <c r="F30" s="82">
        <f>MIN(F25:F29)</f>
        <v>4.1684093310703434E-2</v>
      </c>
      <c r="G30" s="82">
        <f t="shared" ref="G30:R30" si="15">MIN(G25:G29)</f>
        <v>2.9350246462537768E-2</v>
      </c>
      <c r="H30" s="82">
        <f t="shared" si="15"/>
        <v>1.4179468177678555E-2</v>
      </c>
      <c r="I30" s="82">
        <f t="shared" si="15"/>
        <v>1.0481717953708856E-2</v>
      </c>
      <c r="J30" s="82">
        <f t="shared" si="15"/>
        <v>9.5666710167804508E-3</v>
      </c>
      <c r="K30" s="82">
        <f t="shared" si="15"/>
        <v>3.6162976386266345E-2</v>
      </c>
      <c r="L30" s="82">
        <f t="shared" si="15"/>
        <v>2.3776515675783292E-2</v>
      </c>
      <c r="M30" s="82">
        <f t="shared" si="15"/>
        <v>4.3529455176919363E-2</v>
      </c>
      <c r="N30" s="82">
        <f t="shared" si="15"/>
        <v>6.8131996347512349E-3</v>
      </c>
      <c r="O30" s="82">
        <f t="shared" si="15"/>
        <v>2.7353155157846806E-2</v>
      </c>
      <c r="P30" s="82">
        <f t="shared" si="15"/>
        <v>4.6017436895633014E-2</v>
      </c>
      <c r="Q30" s="82">
        <f t="shared" si="15"/>
        <v>0</v>
      </c>
      <c r="R30" s="82">
        <f t="shared" si="15"/>
        <v>8.2540199121236852E-3</v>
      </c>
    </row>
    <row r="31" spans="3:19" x14ac:dyDescent="0.35">
      <c r="E31" s="83" t="s">
        <v>125</v>
      </c>
      <c r="F31" s="75">
        <f>MAX(F25:F29)</f>
        <v>6.2526139966055161E-2</v>
      </c>
      <c r="G31" s="75">
        <f t="shared" ref="G31:Q31" si="16">MAX(G25:G29)</f>
        <v>3.3543138814328875E-2</v>
      </c>
      <c r="H31" s="75">
        <f t="shared" si="16"/>
        <v>1.7330461106051565E-2</v>
      </c>
      <c r="I31" s="75">
        <f t="shared" si="16"/>
        <v>1.3476494511911385E-2</v>
      </c>
      <c r="J31" s="75">
        <f t="shared" si="16"/>
        <v>2.2322232372487722E-2</v>
      </c>
      <c r="K31" s="75">
        <f t="shared" si="16"/>
        <v>8.4380278234621478E-2</v>
      </c>
      <c r="L31" s="75">
        <f t="shared" si="16"/>
        <v>3.3287121946096607E-2</v>
      </c>
      <c r="M31" s="75">
        <f t="shared" si="16"/>
        <v>8.7058910353838725E-2</v>
      </c>
      <c r="N31" s="75">
        <f t="shared" si="16"/>
        <v>1.5897465814419549E-2</v>
      </c>
      <c r="O31" s="75">
        <f t="shared" si="16"/>
        <v>4.3765048252554888E-2</v>
      </c>
      <c r="P31" s="75">
        <f t="shared" si="16"/>
        <v>6.4424411653886224E-2</v>
      </c>
      <c r="Q31" s="75">
        <f t="shared" si="16"/>
        <v>5.3842745461315962E-2</v>
      </c>
      <c r="R31" s="75">
        <f>MAX(R25:R29)</f>
        <v>4.1270099560618424E-2</v>
      </c>
    </row>
    <row r="32" spans="3:19" x14ac:dyDescent="0.35">
      <c r="E32" s="7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  <c r="S32" s="74"/>
    </row>
    <row r="33" spans="5:19" ht="15" thickBot="1" x14ac:dyDescent="0.4">
      <c r="E33" s="113" t="s">
        <v>130</v>
      </c>
      <c r="F33" s="113"/>
      <c r="G33" s="113"/>
      <c r="H33" s="113"/>
      <c r="I33" s="113"/>
      <c r="J33" s="113"/>
      <c r="K33" s="113"/>
      <c r="L33" s="113"/>
      <c r="M33" s="113"/>
      <c r="N33" s="113"/>
      <c r="O33" s="113"/>
      <c r="P33" s="113"/>
      <c r="Q33" s="113"/>
      <c r="R33" s="114"/>
      <c r="S33" s="78"/>
    </row>
    <row r="34" spans="5:19" x14ac:dyDescent="0.35">
      <c r="E34" s="49" t="s">
        <v>9</v>
      </c>
      <c r="F34" s="93" t="s">
        <v>23</v>
      </c>
      <c r="G34" s="94"/>
      <c r="H34" s="94"/>
      <c r="I34" s="96"/>
      <c r="J34" s="93" t="s">
        <v>24</v>
      </c>
      <c r="K34" s="94"/>
      <c r="L34" s="95"/>
      <c r="M34" s="93" t="s">
        <v>25</v>
      </c>
      <c r="N34" s="94"/>
      <c r="O34" s="95"/>
      <c r="P34" s="93" t="s">
        <v>26</v>
      </c>
      <c r="Q34" s="94"/>
      <c r="R34" s="96"/>
      <c r="S34" s="115" t="s">
        <v>126</v>
      </c>
    </row>
    <row r="35" spans="5:19" x14ac:dyDescent="0.35">
      <c r="E35" s="50"/>
      <c r="F35" s="51" t="s">
        <v>21</v>
      </c>
      <c r="G35" s="48" t="s">
        <v>22</v>
      </c>
      <c r="H35" s="48" t="s">
        <v>19</v>
      </c>
      <c r="I35" s="52" t="s">
        <v>20</v>
      </c>
      <c r="J35" s="51" t="s">
        <v>27</v>
      </c>
      <c r="K35" s="48" t="s">
        <v>32</v>
      </c>
      <c r="L35" s="53" t="s">
        <v>42</v>
      </c>
      <c r="M35" s="54" t="s">
        <v>28</v>
      </c>
      <c r="N35" s="48" t="s">
        <v>29</v>
      </c>
      <c r="O35" s="53" t="s">
        <v>43</v>
      </c>
      <c r="P35" s="51" t="s">
        <v>30</v>
      </c>
      <c r="Q35" s="48" t="s">
        <v>31</v>
      </c>
      <c r="R35" s="52" t="s">
        <v>40</v>
      </c>
      <c r="S35" s="116"/>
    </row>
    <row r="36" spans="5:19" x14ac:dyDescent="0.35">
      <c r="E36" s="21" t="s">
        <v>10</v>
      </c>
      <c r="F36" s="65">
        <f>($F$31-F25)^2</f>
        <v>1.0859772719596461E-4</v>
      </c>
      <c r="G36" s="65">
        <f>($G$31-G25)^2</f>
        <v>4.3950865684270749E-6</v>
      </c>
      <c r="H36" s="65">
        <f>($H$31-H25)^2</f>
        <v>9.9287564346567189E-6</v>
      </c>
      <c r="I36" s="65">
        <f>($I$31-I25)^2</f>
        <v>8.9686866335593834E-6</v>
      </c>
      <c r="J36" s="65">
        <f>($J$31-J25)^2</f>
        <v>0</v>
      </c>
      <c r="K36" s="65">
        <f>($K$31-K25)^2</f>
        <v>2.3249081975353914E-3</v>
      </c>
      <c r="L36" s="65">
        <f>($L$31-L25)^2</f>
        <v>0</v>
      </c>
      <c r="M36" s="65">
        <f>($M$31-M25)^2</f>
        <v>0</v>
      </c>
      <c r="N36" s="65">
        <f>($N$31-N25)^2</f>
        <v>2.0630973005766393E-5</v>
      </c>
      <c r="O36" s="65">
        <f>($O$31-O25)^2</f>
        <v>0</v>
      </c>
      <c r="P36" s="65">
        <f>($P$31-P25)^2</f>
        <v>8.470417993774276E-5</v>
      </c>
      <c r="Q36" s="65">
        <f>($Q$31-Q25)^2</f>
        <v>1.0436548459723419E-3</v>
      </c>
      <c r="R36" s="65">
        <f>($R$31-R25)^2</f>
        <v>1.0900615153557486E-3</v>
      </c>
      <c r="S36" s="68">
        <f>SQRT(SUM(F36:R36))</f>
        <v>6.8526272105226896E-2</v>
      </c>
    </row>
    <row r="37" spans="5:19" x14ac:dyDescent="0.35">
      <c r="E37" s="21" t="s">
        <v>11</v>
      </c>
      <c r="F37" s="65">
        <f t="shared" ref="F37:F40" si="17">($F$31-F26)^2</f>
        <v>0</v>
      </c>
      <c r="G37" s="65">
        <f t="shared" ref="G37:G40" si="18">($G$31-G26)^2</f>
        <v>1.7580346273708357E-5</v>
      </c>
      <c r="H37" s="65">
        <f t="shared" ref="H37:H40" si="19">($H$31-H26)^2</f>
        <v>2.4821891086641772E-6</v>
      </c>
      <c r="I37" s="65">
        <f t="shared" ref="I37:I39" si="20">($I$31-I26)^2</f>
        <v>2.2421716583898433E-6</v>
      </c>
      <c r="J37" s="65">
        <f t="shared" ref="J37:J39" si="21">($J$31-J26)^2</f>
        <v>1.6270434549921271E-4</v>
      </c>
      <c r="K37" s="65">
        <f t="shared" ref="K37:K39" si="22">($K$31-K26)^2</f>
        <v>5.8122704938384838E-4</v>
      </c>
      <c r="L37" s="65">
        <f t="shared" ref="L37:L39" si="23">($L$31-L26)^2</f>
        <v>9.0451631628922944E-5</v>
      </c>
      <c r="M37" s="65">
        <f t="shared" ref="M37:M39" si="24">($M$31-M26)^2</f>
        <v>1.8948134679994319E-3</v>
      </c>
      <c r="N37" s="65">
        <f t="shared" ref="N37:N39" si="25">($N$31-N26)^2</f>
        <v>8.2523892023065543E-5</v>
      </c>
      <c r="O37" s="65">
        <f t="shared" ref="O37:O39" si="26">($O$31-O26)^2</f>
        <v>2.6935023495212683E-4</v>
      </c>
      <c r="P37" s="65">
        <f t="shared" ref="P37:P39" si="27">($P$31-P26)^2</f>
        <v>3.3881671975097082E-4</v>
      </c>
      <c r="Q37" s="65">
        <f t="shared" ref="Q37:Q39" si="28">($Q$31-Q26)^2</f>
        <v>0</v>
      </c>
      <c r="R37" s="65">
        <f>($R$31-R26)^2</f>
        <v>2.7251537883893725E-4</v>
      </c>
      <c r="S37" s="68">
        <f t="shared" ref="S37:S40" si="29">SQRT(SUM(F37:R37))</f>
        <v>6.0948399709239938E-2</v>
      </c>
    </row>
    <row r="38" spans="5:19" x14ac:dyDescent="0.35">
      <c r="E38" s="21" t="s">
        <v>12</v>
      </c>
      <c r="F38" s="65">
        <f t="shared" si="17"/>
        <v>4.3439090878385811E-4</v>
      </c>
      <c r="G38" s="65">
        <f t="shared" si="18"/>
        <v>0</v>
      </c>
      <c r="H38" s="65">
        <f t="shared" si="19"/>
        <v>2.4821891086641772E-6</v>
      </c>
      <c r="I38" s="65">
        <f t="shared" si="20"/>
        <v>4.3946564504440983E-6</v>
      </c>
      <c r="J38" s="65">
        <f t="shared" si="21"/>
        <v>4.0676086374803199E-5</v>
      </c>
      <c r="K38" s="65">
        <f t="shared" si="22"/>
        <v>5.8122704938384838E-4</v>
      </c>
      <c r="L38" s="65">
        <f t="shared" si="23"/>
        <v>2.2612907907230749E-5</v>
      </c>
      <c r="M38" s="65">
        <f t="shared" si="24"/>
        <v>1.8948134679994319E-3</v>
      </c>
      <c r="N38" s="65">
        <f t="shared" si="25"/>
        <v>0</v>
      </c>
      <c r="O38" s="65">
        <f t="shared" si="26"/>
        <v>2.6935023495212683E-4</v>
      </c>
      <c r="P38" s="65">
        <f t="shared" si="27"/>
        <v>0</v>
      </c>
      <c r="Q38" s="65">
        <f t="shared" si="28"/>
        <v>4.6384659820992969E-4</v>
      </c>
      <c r="R38" s="65">
        <f>($R$31-R27)^2</f>
        <v>0</v>
      </c>
      <c r="S38" s="68">
        <f t="shared" si="29"/>
        <v>6.094090661592045E-2</v>
      </c>
    </row>
    <row r="39" spans="5:19" x14ac:dyDescent="0.35">
      <c r="E39" s="21" t="s">
        <v>13</v>
      </c>
      <c r="F39" s="65">
        <f t="shared" si="17"/>
        <v>2.7149431798991115E-5</v>
      </c>
      <c r="G39" s="65">
        <f t="shared" si="18"/>
        <v>1.220857380118636E-5</v>
      </c>
      <c r="H39" s="65">
        <f t="shared" si="19"/>
        <v>0</v>
      </c>
      <c r="I39" s="65">
        <f t="shared" si="20"/>
        <v>0</v>
      </c>
      <c r="J39" s="65">
        <f t="shared" si="21"/>
        <v>4.0676086374803199E-5</v>
      </c>
      <c r="K39" s="65">
        <f t="shared" si="22"/>
        <v>0</v>
      </c>
      <c r="L39" s="65">
        <f t="shared" si="23"/>
        <v>2.2612907907230749E-5</v>
      </c>
      <c r="M39" s="65">
        <f t="shared" si="24"/>
        <v>0</v>
      </c>
      <c r="N39" s="65">
        <f t="shared" si="25"/>
        <v>2.0630973005766393E-5</v>
      </c>
      <c r="O39" s="65">
        <f t="shared" si="26"/>
        <v>2.9927803883569659E-5</v>
      </c>
      <c r="P39" s="65">
        <f t="shared" si="27"/>
        <v>0</v>
      </c>
      <c r="Q39" s="65">
        <f t="shared" si="28"/>
        <v>2.8990412388120606E-3</v>
      </c>
      <c r="R39" s="65">
        <f>($R$31-R28)^2</f>
        <v>1.0900615153557486E-3</v>
      </c>
      <c r="S39" s="68">
        <f t="shared" si="29"/>
        <v>6.4360768570141835E-2</v>
      </c>
    </row>
    <row r="40" spans="5:19" x14ac:dyDescent="0.35">
      <c r="E40" s="85" t="s">
        <v>14</v>
      </c>
      <c r="F40" s="84">
        <f t="shared" si="17"/>
        <v>2.4434488619092003E-4</v>
      </c>
      <c r="G40" s="84">
        <f t="shared" si="18"/>
        <v>1.9533718081898176E-6</v>
      </c>
      <c r="H40" s="84">
        <f t="shared" si="19"/>
        <v>0</v>
      </c>
      <c r="I40" s="84">
        <f>($I$30-I29)^2</f>
        <v>3.587474653423745E-7</v>
      </c>
      <c r="J40" s="84">
        <f>($J$30-J29)^2</f>
        <v>4.0676086374803158E-5</v>
      </c>
      <c r="K40" s="84">
        <f>($K$30-K29)^2</f>
        <v>2.3249081975353914E-3</v>
      </c>
      <c r="L40" s="84">
        <f>($L$30-L29)^2</f>
        <v>0</v>
      </c>
      <c r="M40" s="84">
        <f>($M$30-M29)^2</f>
        <v>0</v>
      </c>
      <c r="N40" s="84">
        <f>($N$30-N29)^2</f>
        <v>8.2523892023065543E-5</v>
      </c>
      <c r="O40" s="84">
        <f>($O$30-O29)^2</f>
        <v>2.9927803883569622E-5</v>
      </c>
      <c r="P40" s="84">
        <f>($P$30-P29)^2</f>
        <v>0</v>
      </c>
      <c r="Q40" s="84">
        <f>($Q$30-Q29)^2</f>
        <v>4.6384659820992969E-4</v>
      </c>
      <c r="R40" s="84">
        <f>($R$30-R29)^2</f>
        <v>2.7251537883893703E-4</v>
      </c>
      <c r="S40" s="68">
        <f t="shared" si="29"/>
        <v>5.8830731444799729E-2</v>
      </c>
    </row>
    <row r="42" spans="5:19" ht="15" thickBot="1" x14ac:dyDescent="0.4">
      <c r="E42" s="113" t="s">
        <v>131</v>
      </c>
      <c r="F42" s="113"/>
      <c r="G42" s="113"/>
      <c r="H42" s="113"/>
      <c r="I42" s="113"/>
      <c r="J42" s="113"/>
      <c r="K42" s="113"/>
      <c r="L42" s="113"/>
      <c r="M42" s="113"/>
      <c r="N42" s="113"/>
      <c r="O42" s="113"/>
      <c r="P42" s="113"/>
      <c r="Q42" s="113"/>
      <c r="R42" s="114"/>
    </row>
    <row r="43" spans="5:19" x14ac:dyDescent="0.35">
      <c r="E43" s="49" t="s">
        <v>9</v>
      </c>
      <c r="F43" s="93" t="s">
        <v>23</v>
      </c>
      <c r="G43" s="94"/>
      <c r="H43" s="94"/>
      <c r="I43" s="96"/>
      <c r="J43" s="93" t="s">
        <v>24</v>
      </c>
      <c r="K43" s="94"/>
      <c r="L43" s="95"/>
      <c r="M43" s="93" t="s">
        <v>25</v>
      </c>
      <c r="N43" s="94"/>
      <c r="O43" s="95"/>
      <c r="P43" s="93" t="s">
        <v>26</v>
      </c>
      <c r="Q43" s="94"/>
      <c r="R43" s="96"/>
      <c r="S43" s="115" t="s">
        <v>127</v>
      </c>
    </row>
    <row r="44" spans="5:19" x14ac:dyDescent="0.35">
      <c r="E44" s="50"/>
      <c r="F44" s="51" t="s">
        <v>21</v>
      </c>
      <c r="G44" s="48" t="s">
        <v>22</v>
      </c>
      <c r="H44" s="48" t="s">
        <v>19</v>
      </c>
      <c r="I44" s="52" t="s">
        <v>20</v>
      </c>
      <c r="J44" s="51" t="s">
        <v>27</v>
      </c>
      <c r="K44" s="48" t="s">
        <v>32</v>
      </c>
      <c r="L44" s="53" t="s">
        <v>42</v>
      </c>
      <c r="M44" s="54" t="s">
        <v>28</v>
      </c>
      <c r="N44" s="48" t="s">
        <v>29</v>
      </c>
      <c r="O44" s="53" t="s">
        <v>43</v>
      </c>
      <c r="P44" s="51" t="s">
        <v>30</v>
      </c>
      <c r="Q44" s="48" t="s">
        <v>31</v>
      </c>
      <c r="R44" s="52" t="s">
        <v>40</v>
      </c>
      <c r="S44" s="116"/>
    </row>
    <row r="45" spans="5:19" x14ac:dyDescent="0.35">
      <c r="E45" s="21" t="s">
        <v>10</v>
      </c>
      <c r="F45" s="65">
        <f>(F25-$F$30)^2</f>
        <v>1.0859772719596446E-4</v>
      </c>
      <c r="G45" s="65">
        <f>(G25-$G$30)^2</f>
        <v>4.3950865684271046E-6</v>
      </c>
      <c r="H45" s="65">
        <f>(H25-$H$30)^2</f>
        <v>0</v>
      </c>
      <c r="I45" s="65">
        <f>(I25-$I$30)^2</f>
        <v>0</v>
      </c>
      <c r="J45" s="65">
        <f>(J25-$J$30)^2</f>
        <v>1.6270434549921271E-4</v>
      </c>
      <c r="K45" s="65">
        <f>(K25-$K$30)^2</f>
        <v>0</v>
      </c>
      <c r="L45" s="65">
        <f>(L25-$L$30)^2</f>
        <v>9.0451631628922944E-5</v>
      </c>
      <c r="M45" s="65">
        <f>(M25-$M$30)^2</f>
        <v>1.8948134679994319E-3</v>
      </c>
      <c r="N45" s="65">
        <f>(N25-$N$30)^2</f>
        <v>2.0630973005766376E-5</v>
      </c>
      <c r="O45" s="65">
        <f>(O25-$O$30)^2</f>
        <v>2.6935023495212683E-4</v>
      </c>
      <c r="P45" s="65">
        <f t="shared" ref="P45:P48" si="30">(P25-P30)^2</f>
        <v>8.4704179937742638E-5</v>
      </c>
      <c r="Q45" s="65">
        <f>(Q25-$Q$30)^2</f>
        <v>4.6384659820992969E-4</v>
      </c>
      <c r="R45" s="65">
        <f>(R25-$R$30)^2</f>
        <v>0</v>
      </c>
      <c r="S45" s="65">
        <f>SQRT(SUM(F45:R45))</f>
        <v>5.5673101629040982E-2</v>
      </c>
    </row>
    <row r="46" spans="5:19" x14ac:dyDescent="0.35">
      <c r="E46" s="21" t="s">
        <v>11</v>
      </c>
      <c r="F46" s="65">
        <f t="shared" ref="F46:F49" si="31">(F26-$F$30)^2</f>
        <v>4.3439090878385811E-4</v>
      </c>
      <c r="G46" s="65">
        <f t="shared" ref="G46:G49" si="32">(G26-$G$30)^2</f>
        <v>0</v>
      </c>
      <c r="H46" s="65">
        <f t="shared" ref="H46:H49" si="33">(H26-$H$30)^2</f>
        <v>2.4821891086641827E-6</v>
      </c>
      <c r="I46" s="65">
        <f t="shared" ref="I46:I49" si="34">(I26-$I$30)^2</f>
        <v>2.2421716583898484E-6</v>
      </c>
      <c r="J46" s="65">
        <f t="shared" ref="J46:J49" si="35">(J26-$J$30)^2</f>
        <v>0</v>
      </c>
      <c r="K46" s="65">
        <f t="shared" ref="K46:K49" si="36">(K26-$K$30)^2</f>
        <v>5.812270493838473E-4</v>
      </c>
      <c r="L46" s="65">
        <f t="shared" ref="L46:L49" si="37">(L26-$L$30)^2</f>
        <v>0</v>
      </c>
      <c r="M46" s="65">
        <f t="shared" ref="M46:M49" si="38">(M26-$M$30)^2</f>
        <v>0</v>
      </c>
      <c r="N46" s="65">
        <f t="shared" ref="N46:N49" si="39">(N26-$N$30)^2</f>
        <v>0</v>
      </c>
      <c r="O46" s="65">
        <f>(O26-$O$30)^2</f>
        <v>0</v>
      </c>
      <c r="P46" s="65">
        <f t="shared" si="30"/>
        <v>3.3881671975097082E-4</v>
      </c>
      <c r="Q46" s="65">
        <f t="shared" ref="Q46:Q49" si="40">(Q26-$Q$30)^2</f>
        <v>2.8990412388120606E-3</v>
      </c>
      <c r="R46" s="65">
        <f t="shared" ref="R46:R49" si="41">(R26-$R$30)^2</f>
        <v>2.7251537883893703E-4</v>
      </c>
      <c r="S46" s="65">
        <f t="shared" ref="S46:S49" si="42">SQRT(SUM(F46:R46))</f>
        <v>6.7310590967073883E-2</v>
      </c>
    </row>
    <row r="47" spans="5:19" x14ac:dyDescent="0.35">
      <c r="E47" s="21" t="s">
        <v>12</v>
      </c>
      <c r="F47" s="65">
        <f t="shared" si="31"/>
        <v>0</v>
      </c>
      <c r="G47" s="65">
        <f t="shared" si="32"/>
        <v>1.7580346273708357E-5</v>
      </c>
      <c r="H47" s="65">
        <f t="shared" si="33"/>
        <v>2.4821891086641827E-6</v>
      </c>
      <c r="I47" s="65">
        <f t="shared" si="34"/>
        <v>8.0718179702034426E-7</v>
      </c>
      <c r="J47" s="65">
        <f t="shared" si="35"/>
        <v>4.0676086374803158E-5</v>
      </c>
      <c r="K47" s="65">
        <f t="shared" si="36"/>
        <v>5.812270493838473E-4</v>
      </c>
      <c r="L47" s="65">
        <f t="shared" si="37"/>
        <v>2.2612907907230719E-5</v>
      </c>
      <c r="M47" s="65">
        <f t="shared" si="38"/>
        <v>0</v>
      </c>
      <c r="N47" s="65">
        <f t="shared" si="39"/>
        <v>8.2523892023065543E-5</v>
      </c>
      <c r="O47" s="65">
        <f>(O27-$O$30)^2</f>
        <v>0</v>
      </c>
      <c r="P47" s="65">
        <f t="shared" si="30"/>
        <v>4.1505048169493911E-3</v>
      </c>
      <c r="Q47" s="65">
        <f t="shared" si="40"/>
        <v>1.0436548459723419E-3</v>
      </c>
      <c r="R47" s="65">
        <f t="shared" si="41"/>
        <v>1.0900615153557486E-3</v>
      </c>
      <c r="S47" s="65">
        <f t="shared" si="42"/>
        <v>8.3857801253943098E-2</v>
      </c>
    </row>
    <row r="48" spans="5:19" x14ac:dyDescent="0.35">
      <c r="E48" s="21" t="s">
        <v>13</v>
      </c>
      <c r="F48" s="65">
        <f t="shared" si="31"/>
        <v>2.4434488619092025E-4</v>
      </c>
      <c r="G48" s="65">
        <f t="shared" si="32"/>
        <v>4.8834295204745439E-7</v>
      </c>
      <c r="H48" s="65">
        <f t="shared" si="33"/>
        <v>9.9287564346567189E-6</v>
      </c>
      <c r="I48" s="65">
        <f t="shared" si="34"/>
        <v>8.9686866335593834E-6</v>
      </c>
      <c r="J48" s="65">
        <f t="shared" si="35"/>
        <v>4.0676086374803158E-5</v>
      </c>
      <c r="K48" s="65">
        <f t="shared" si="36"/>
        <v>2.3249081975353914E-3</v>
      </c>
      <c r="L48" s="65">
        <f t="shared" si="37"/>
        <v>2.2612907907230719E-5</v>
      </c>
      <c r="M48" s="65">
        <f t="shared" si="38"/>
        <v>1.8948134679994319E-3</v>
      </c>
      <c r="N48" s="65">
        <f t="shared" si="39"/>
        <v>2.0630973005766376E-5</v>
      </c>
      <c r="O48" s="65">
        <f>(O28-$O$30)^2</f>
        <v>1.1971121553427857E-4</v>
      </c>
      <c r="P48" s="65">
        <f t="shared" si="30"/>
        <v>4.1505048169493911E-3</v>
      </c>
      <c r="Q48" s="65">
        <f t="shared" si="40"/>
        <v>0</v>
      </c>
      <c r="R48" s="65">
        <f t="shared" si="41"/>
        <v>0</v>
      </c>
      <c r="S48" s="65">
        <f t="shared" si="42"/>
        <v>9.400844822417545E-2</v>
      </c>
    </row>
    <row r="49" spans="5:19" x14ac:dyDescent="0.35">
      <c r="E49" s="67" t="s">
        <v>14</v>
      </c>
      <c r="F49" s="65">
        <f t="shared" si="31"/>
        <v>2.7149431798991186E-5</v>
      </c>
      <c r="G49" s="65">
        <f t="shared" si="32"/>
        <v>7.8134872327592703E-6</v>
      </c>
      <c r="H49" s="65">
        <f t="shared" si="33"/>
        <v>9.9287564346567189E-6</v>
      </c>
      <c r="I49" s="65">
        <f t="shared" si="34"/>
        <v>3.587474653423745E-7</v>
      </c>
      <c r="J49" s="65">
        <f t="shared" si="35"/>
        <v>4.0676086374803158E-5</v>
      </c>
      <c r="K49" s="65">
        <f t="shared" si="36"/>
        <v>2.3249081975353914E-3</v>
      </c>
      <c r="L49" s="65">
        <f t="shared" si="37"/>
        <v>0</v>
      </c>
      <c r="M49" s="65">
        <f t="shared" si="38"/>
        <v>0</v>
      </c>
      <c r="N49" s="65">
        <f t="shared" si="39"/>
        <v>8.2523892023065543E-5</v>
      </c>
      <c r="O49" s="65">
        <f>(O29-$O$30)^2</f>
        <v>2.9927803883569622E-5</v>
      </c>
      <c r="P49" s="76">
        <f>(P29-$P$30)^2</f>
        <v>0</v>
      </c>
      <c r="Q49" s="65">
        <f t="shared" si="40"/>
        <v>4.6384659820992969E-4</v>
      </c>
      <c r="R49" s="65">
        <f t="shared" si="41"/>
        <v>2.7251537883893703E-4</v>
      </c>
      <c r="S49" s="65">
        <f t="shared" si="42"/>
        <v>5.7093330431824046E-2</v>
      </c>
    </row>
    <row r="50" spans="5:19" x14ac:dyDescent="0.35">
      <c r="E50" s="7"/>
      <c r="F50" s="66"/>
      <c r="G50" s="66"/>
      <c r="H50" s="66"/>
      <c r="I50" s="66"/>
      <c r="J50" s="66"/>
      <c r="K50" s="66"/>
      <c r="L50" s="66"/>
      <c r="M50" s="66"/>
      <c r="N50" s="66"/>
      <c r="O50" s="66"/>
      <c r="P50" s="66"/>
      <c r="Q50" s="66"/>
      <c r="R50" s="66"/>
      <c r="S50" s="74"/>
    </row>
    <row r="52" spans="5:19" x14ac:dyDescent="0.35">
      <c r="L52" s="99" t="s">
        <v>118</v>
      </c>
      <c r="M52" s="99"/>
      <c r="N52" s="99"/>
      <c r="O52" s="92" t="s">
        <v>121</v>
      </c>
      <c r="P52" s="92"/>
    </row>
    <row r="53" spans="5:19" ht="14.5" customHeight="1" x14ac:dyDescent="0.35">
      <c r="L53" s="13" t="s">
        <v>117</v>
      </c>
      <c r="M53" s="13" t="s">
        <v>119</v>
      </c>
      <c r="N53" s="13" t="s">
        <v>120</v>
      </c>
      <c r="O53" s="117" t="s">
        <v>129</v>
      </c>
      <c r="P53" s="117"/>
    </row>
    <row r="54" spans="5:19" x14ac:dyDescent="0.35">
      <c r="L54" s="13" t="s">
        <v>10</v>
      </c>
      <c r="M54" s="13">
        <f>S45/(S36+S45)</f>
        <v>0.44825589658895526</v>
      </c>
      <c r="N54" s="13">
        <v>5</v>
      </c>
      <c r="O54" s="117"/>
      <c r="P54" s="117"/>
    </row>
    <row r="55" spans="5:19" x14ac:dyDescent="0.35">
      <c r="L55" s="13" t="s">
        <v>11</v>
      </c>
      <c r="M55" s="13">
        <f>S46/(S37+S46)</f>
        <v>0.52480212585599617</v>
      </c>
      <c r="N55" s="13">
        <v>3</v>
      </c>
      <c r="O55" s="117"/>
      <c r="P55" s="117"/>
    </row>
    <row r="56" spans="5:19" x14ac:dyDescent="0.35">
      <c r="L56" s="13" t="s">
        <v>12</v>
      </c>
      <c r="M56" s="13">
        <f t="shared" ref="M56:M58" si="43">S47/(S38+S47)</f>
        <v>0.57913362962678849</v>
      </c>
      <c r="N56" s="13">
        <v>2</v>
      </c>
      <c r="O56" s="117"/>
      <c r="P56" s="117"/>
    </row>
    <row r="57" spans="5:19" x14ac:dyDescent="0.35">
      <c r="L57" s="81" t="s">
        <v>13</v>
      </c>
      <c r="M57" s="81">
        <f t="shared" si="43"/>
        <v>0.59360303805927972</v>
      </c>
      <c r="N57" s="13">
        <v>1</v>
      </c>
      <c r="O57" s="117"/>
      <c r="P57" s="117"/>
    </row>
    <row r="58" spans="5:19" x14ac:dyDescent="0.35">
      <c r="L58" s="13" t="s">
        <v>14</v>
      </c>
      <c r="M58" s="13">
        <f t="shared" si="43"/>
        <v>0.4925062968599877</v>
      </c>
      <c r="N58" s="13">
        <v>4</v>
      </c>
      <c r="O58" s="117"/>
      <c r="P58" s="117"/>
    </row>
  </sheetData>
  <mergeCells count="35">
    <mergeCell ref="O53:P58"/>
    <mergeCell ref="F43:I43"/>
    <mergeCell ref="J43:L43"/>
    <mergeCell ref="M43:O43"/>
    <mergeCell ref="P43:R43"/>
    <mergeCell ref="S43:S44"/>
    <mergeCell ref="L52:N52"/>
    <mergeCell ref="O52:P52"/>
    <mergeCell ref="F34:I34"/>
    <mergeCell ref="J34:L34"/>
    <mergeCell ref="M34:O34"/>
    <mergeCell ref="P34:R34"/>
    <mergeCell ref="S34:S35"/>
    <mergeCell ref="E42:R42"/>
    <mergeCell ref="E33:R33"/>
    <mergeCell ref="A8:A10"/>
    <mergeCell ref="A11:A13"/>
    <mergeCell ref="E13:R13"/>
    <mergeCell ref="A14:A16"/>
    <mergeCell ref="F14:I14"/>
    <mergeCell ref="J14:L14"/>
    <mergeCell ref="M14:O14"/>
    <mergeCell ref="P14:R14"/>
    <mergeCell ref="E22:R22"/>
    <mergeCell ref="F23:I23"/>
    <mergeCell ref="J23:L23"/>
    <mergeCell ref="M23:O23"/>
    <mergeCell ref="P23:R23"/>
    <mergeCell ref="E3:R3"/>
    <mergeCell ref="A4:A7"/>
    <mergeCell ref="E4:E6"/>
    <mergeCell ref="F4:I4"/>
    <mergeCell ref="J4:L4"/>
    <mergeCell ref="M4:O4"/>
    <mergeCell ref="P4:R4"/>
  </mergeCells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9B3EF8D-25DD-4405-B1CF-0C377D4D16B5}">
  <sheetPr>
    <tabColor rgb="FFFFFF00"/>
  </sheetPr>
  <dimension ref="A1:S69"/>
  <sheetViews>
    <sheetView zoomScale="70" zoomScaleNormal="70" workbookViewId="0">
      <selection activeCell="Q56" sqref="Q56"/>
    </sheetView>
  </sheetViews>
  <sheetFormatPr defaultRowHeight="14.5" x14ac:dyDescent="0.35"/>
  <cols>
    <col min="1" max="1" width="13.81640625" customWidth="1"/>
    <col min="2" max="2" width="12.7265625" customWidth="1"/>
    <col min="3" max="3" width="10.36328125" customWidth="1"/>
    <col min="5" max="5" width="18.1796875" bestFit="1" customWidth="1"/>
    <col min="6" max="6" width="14.54296875" customWidth="1"/>
    <col min="7" max="7" width="20.7265625" customWidth="1"/>
    <col min="8" max="9" width="15.08984375" customWidth="1"/>
    <col min="10" max="10" width="19.6328125" bestFit="1" customWidth="1"/>
    <col min="11" max="11" width="21.54296875" bestFit="1" customWidth="1"/>
    <col min="12" max="12" width="19.6328125" bestFit="1" customWidth="1"/>
    <col min="13" max="13" width="25.08984375" bestFit="1" customWidth="1"/>
    <col min="14" max="14" width="19.6328125" bestFit="1" customWidth="1"/>
    <col min="15" max="15" width="21.08984375" bestFit="1" customWidth="1"/>
    <col min="16" max="16" width="19.6328125" bestFit="1" customWidth="1"/>
    <col min="17" max="17" width="18.453125" customWidth="1"/>
    <col min="18" max="18" width="26.26953125" bestFit="1" customWidth="1"/>
    <col min="19" max="19" width="18.81640625" customWidth="1"/>
    <col min="20" max="20" width="11.6328125" bestFit="1" customWidth="1"/>
  </cols>
  <sheetData>
    <row r="1" spans="1:18" x14ac:dyDescent="0.35">
      <c r="A1" t="s">
        <v>110</v>
      </c>
    </row>
    <row r="3" spans="1:18" ht="15" thickBot="1" x14ac:dyDescent="0.4">
      <c r="A3" s="13" t="s">
        <v>46</v>
      </c>
      <c r="B3" s="13" t="s">
        <v>111</v>
      </c>
      <c r="C3" s="13"/>
      <c r="E3" s="107" t="s">
        <v>116</v>
      </c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</row>
    <row r="4" spans="1:18" x14ac:dyDescent="0.35">
      <c r="A4" s="108" t="s">
        <v>112</v>
      </c>
      <c r="B4" s="62" t="s">
        <v>21</v>
      </c>
      <c r="C4" s="63">
        <f>'AHP edit'!M53/4</f>
        <v>0.11766992061476657</v>
      </c>
      <c r="E4" s="111" t="s">
        <v>9</v>
      </c>
      <c r="F4" s="93" t="s">
        <v>23</v>
      </c>
      <c r="G4" s="94"/>
      <c r="H4" s="94"/>
      <c r="I4" s="96"/>
      <c r="J4" s="93" t="s">
        <v>24</v>
      </c>
      <c r="K4" s="94"/>
      <c r="L4" s="95"/>
      <c r="M4" s="93" t="s">
        <v>25</v>
      </c>
      <c r="N4" s="94"/>
      <c r="O4" s="95"/>
      <c r="P4" s="93" t="s">
        <v>26</v>
      </c>
      <c r="Q4" s="94"/>
      <c r="R4" s="95"/>
    </row>
    <row r="5" spans="1:18" x14ac:dyDescent="0.35">
      <c r="A5" s="109"/>
      <c r="B5" s="62" t="s">
        <v>22</v>
      </c>
      <c r="C5" s="63">
        <f>'AHP edit'!M54/4</f>
        <v>7.008390265740988E-2</v>
      </c>
      <c r="E5" s="112"/>
      <c r="F5" s="51" t="s">
        <v>21</v>
      </c>
      <c r="G5" s="48" t="s">
        <v>22</v>
      </c>
      <c r="H5" s="48" t="s">
        <v>19</v>
      </c>
      <c r="I5" s="52" t="s">
        <v>20</v>
      </c>
      <c r="J5" s="51" t="s">
        <v>27</v>
      </c>
      <c r="K5" s="48" t="s">
        <v>32</v>
      </c>
      <c r="L5" s="53" t="s">
        <v>42</v>
      </c>
      <c r="M5" s="54" t="s">
        <v>28</v>
      </c>
      <c r="N5" s="48" t="s">
        <v>29</v>
      </c>
      <c r="O5" s="53" t="s">
        <v>43</v>
      </c>
      <c r="P5" s="51" t="s">
        <v>30</v>
      </c>
      <c r="Q5" s="48" t="s">
        <v>31</v>
      </c>
      <c r="R5" s="53" t="s">
        <v>40</v>
      </c>
    </row>
    <row r="6" spans="1:18" x14ac:dyDescent="0.35">
      <c r="A6" s="109"/>
      <c r="B6" s="62" t="s">
        <v>104</v>
      </c>
      <c r="C6" s="63">
        <f>'AHP edit'!M55/4</f>
        <v>3.6030333107416136E-2</v>
      </c>
      <c r="E6" s="112"/>
      <c r="F6" s="26" t="s">
        <v>33</v>
      </c>
      <c r="G6" s="27" t="s">
        <v>34</v>
      </c>
      <c r="H6" s="27" t="s">
        <v>35</v>
      </c>
      <c r="I6" s="32" t="s">
        <v>36</v>
      </c>
      <c r="J6" s="51" t="s">
        <v>80</v>
      </c>
      <c r="K6" s="48" t="s">
        <v>80</v>
      </c>
      <c r="L6" s="55" t="s">
        <v>80</v>
      </c>
      <c r="M6" s="56" t="s">
        <v>37</v>
      </c>
      <c r="N6" s="48" t="s">
        <v>80</v>
      </c>
      <c r="O6" s="55" t="s">
        <v>44</v>
      </c>
      <c r="P6" s="26" t="s">
        <v>80</v>
      </c>
      <c r="Q6" s="27" t="s">
        <v>39</v>
      </c>
      <c r="R6" s="55" t="s">
        <v>41</v>
      </c>
    </row>
    <row r="7" spans="1:18" x14ac:dyDescent="0.35">
      <c r="A7" s="110"/>
      <c r="B7" s="62" t="s">
        <v>20</v>
      </c>
      <c r="C7" s="63">
        <f>'AHP edit'!M56/4</f>
        <v>2.6215843620407416E-2</v>
      </c>
      <c r="E7" s="21" t="s">
        <v>10</v>
      </c>
      <c r="F7" s="39">
        <v>200</v>
      </c>
      <c r="G7" s="14">
        <v>4500000</v>
      </c>
      <c r="H7" s="13">
        <v>180</v>
      </c>
      <c r="I7" s="33">
        <v>35</v>
      </c>
      <c r="J7" s="19">
        <v>7</v>
      </c>
      <c r="K7" s="13">
        <v>3</v>
      </c>
      <c r="L7" s="15">
        <v>7</v>
      </c>
      <c r="M7" s="19">
        <v>2</v>
      </c>
      <c r="N7" s="13">
        <v>5</v>
      </c>
      <c r="O7" s="15">
        <v>8</v>
      </c>
      <c r="P7" s="19">
        <v>6</v>
      </c>
      <c r="Q7" s="13">
        <v>2</v>
      </c>
      <c r="R7" s="15">
        <v>1</v>
      </c>
    </row>
    <row r="8" spans="1:18" x14ac:dyDescent="0.35">
      <c r="A8" s="108" t="s">
        <v>113</v>
      </c>
      <c r="B8" s="62" t="s">
        <v>56</v>
      </c>
      <c r="C8" s="63">
        <f>'AHP edit'!K80/4</f>
        <v>3.6776077441214493E-2</v>
      </c>
      <c r="E8" s="21" t="s">
        <v>11</v>
      </c>
      <c r="F8" s="39">
        <v>240</v>
      </c>
      <c r="G8" s="14">
        <v>4200000</v>
      </c>
      <c r="H8" s="13">
        <v>200</v>
      </c>
      <c r="I8" s="33">
        <v>40</v>
      </c>
      <c r="J8" s="19">
        <v>3</v>
      </c>
      <c r="K8" s="13">
        <v>5</v>
      </c>
      <c r="L8" s="15">
        <v>5</v>
      </c>
      <c r="M8" s="19">
        <v>1</v>
      </c>
      <c r="N8" s="13">
        <v>3</v>
      </c>
      <c r="O8" s="15">
        <v>5</v>
      </c>
      <c r="P8" s="19">
        <v>5</v>
      </c>
      <c r="Q8" s="13">
        <v>5</v>
      </c>
      <c r="R8" s="15">
        <v>3</v>
      </c>
    </row>
    <row r="9" spans="1:18" x14ac:dyDescent="0.35">
      <c r="A9" s="109"/>
      <c r="B9" s="62" t="s">
        <v>105</v>
      </c>
      <c r="C9" s="63">
        <f>'AHP edit'!K81/4</f>
        <v>0.15104026512263549</v>
      </c>
      <c r="E9" s="21" t="s">
        <v>12</v>
      </c>
      <c r="F9" s="39">
        <v>160</v>
      </c>
      <c r="G9" s="14">
        <v>4800000</v>
      </c>
      <c r="H9" s="13">
        <v>200</v>
      </c>
      <c r="I9" s="33">
        <v>38</v>
      </c>
      <c r="J9" s="19">
        <v>5</v>
      </c>
      <c r="K9" s="13">
        <v>5</v>
      </c>
      <c r="L9" s="15">
        <v>6</v>
      </c>
      <c r="M9" s="19">
        <v>1</v>
      </c>
      <c r="N9" s="13">
        <v>7</v>
      </c>
      <c r="O9" s="15">
        <v>5</v>
      </c>
      <c r="P9" s="19">
        <v>7</v>
      </c>
      <c r="Q9" s="13">
        <v>3</v>
      </c>
      <c r="R9" s="15">
        <v>5</v>
      </c>
    </row>
    <row r="10" spans="1:18" x14ac:dyDescent="0.35">
      <c r="A10" s="110"/>
      <c r="B10" s="62" t="s">
        <v>42</v>
      </c>
      <c r="C10" s="63">
        <f>'AHP edit'!K82/4</f>
        <v>6.2183657436150029E-2</v>
      </c>
      <c r="E10" s="21" t="s">
        <v>13</v>
      </c>
      <c r="F10" s="39">
        <v>220</v>
      </c>
      <c r="G10" s="14">
        <v>4300000</v>
      </c>
      <c r="H10" s="13">
        <v>220</v>
      </c>
      <c r="I10" s="33">
        <v>45</v>
      </c>
      <c r="J10" s="19">
        <v>5</v>
      </c>
      <c r="K10" s="13">
        <v>7</v>
      </c>
      <c r="L10" s="15">
        <v>6</v>
      </c>
      <c r="M10" s="19">
        <v>2</v>
      </c>
      <c r="N10" s="13">
        <v>5</v>
      </c>
      <c r="O10" s="15">
        <v>7</v>
      </c>
      <c r="P10" s="19">
        <v>7</v>
      </c>
      <c r="Q10" s="13">
        <v>0</v>
      </c>
      <c r="R10" s="15">
        <v>1</v>
      </c>
    </row>
    <row r="11" spans="1:18" ht="15" thickBot="1" x14ac:dyDescent="0.4">
      <c r="A11" s="108" t="s">
        <v>115</v>
      </c>
      <c r="B11" s="62" t="s">
        <v>106</v>
      </c>
      <c r="C11" s="63">
        <f>'AHP edit'!K105/4</f>
        <v>0.14437087015043495</v>
      </c>
      <c r="E11" s="22" t="s">
        <v>14</v>
      </c>
      <c r="F11" s="40">
        <v>180</v>
      </c>
      <c r="G11" s="16">
        <v>4600000</v>
      </c>
      <c r="H11" s="17">
        <v>220</v>
      </c>
      <c r="I11" s="34">
        <v>37</v>
      </c>
      <c r="J11" s="20">
        <v>5</v>
      </c>
      <c r="K11" s="17">
        <v>7</v>
      </c>
      <c r="L11" s="18">
        <v>5</v>
      </c>
      <c r="M11" s="20">
        <v>1</v>
      </c>
      <c r="N11" s="17">
        <v>7</v>
      </c>
      <c r="O11" s="18">
        <v>6</v>
      </c>
      <c r="P11" s="20">
        <v>5</v>
      </c>
      <c r="Q11" s="17">
        <v>2</v>
      </c>
      <c r="R11" s="18">
        <v>3</v>
      </c>
    </row>
    <row r="12" spans="1:18" x14ac:dyDescent="0.35">
      <c r="A12" s="109"/>
      <c r="B12" s="62" t="s">
        <v>29</v>
      </c>
      <c r="C12" s="63">
        <f>'AHP edit'!K106/4</f>
        <v>2.8456382245048834E-2</v>
      </c>
      <c r="G12" s="72"/>
    </row>
    <row r="13" spans="1:18" ht="15" thickBot="1" x14ac:dyDescent="0.4">
      <c r="A13" s="110"/>
      <c r="B13" s="62" t="s">
        <v>107</v>
      </c>
      <c r="C13" s="63">
        <f>'AHP edit'!K107/4</f>
        <v>7.7172747604516201E-2</v>
      </c>
      <c r="E13" s="107" t="s">
        <v>123</v>
      </c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</row>
    <row r="14" spans="1:18" ht="14.5" customHeight="1" x14ac:dyDescent="0.35">
      <c r="A14" s="108" t="s">
        <v>114</v>
      </c>
      <c r="B14" s="62" t="s">
        <v>30</v>
      </c>
      <c r="C14" s="63">
        <f>'AHP edit'!K130/4</f>
        <v>0.1248421768015307</v>
      </c>
      <c r="E14" s="49" t="s">
        <v>9</v>
      </c>
      <c r="F14" s="93" t="s">
        <v>23</v>
      </c>
      <c r="G14" s="94"/>
      <c r="H14" s="94"/>
      <c r="I14" s="96"/>
      <c r="J14" s="93" t="s">
        <v>24</v>
      </c>
      <c r="K14" s="94"/>
      <c r="L14" s="95"/>
      <c r="M14" s="93" t="s">
        <v>25</v>
      </c>
      <c r="N14" s="94"/>
      <c r="O14" s="95"/>
      <c r="P14" s="93" t="s">
        <v>26</v>
      </c>
      <c r="Q14" s="94"/>
      <c r="R14" s="95"/>
    </row>
    <row r="15" spans="1:18" x14ac:dyDescent="0.35">
      <c r="A15" s="109"/>
      <c r="B15" s="62" t="s">
        <v>108</v>
      </c>
      <c r="C15" s="63">
        <f>'AHP edit'!K131/4</f>
        <v>6.9788174365033095E-2</v>
      </c>
      <c r="E15" s="50"/>
      <c r="F15" s="51" t="s">
        <v>21</v>
      </c>
      <c r="G15" s="48" t="s">
        <v>22</v>
      </c>
      <c r="H15" s="48" t="s">
        <v>19</v>
      </c>
      <c r="I15" s="52" t="s">
        <v>20</v>
      </c>
      <c r="J15" s="51" t="s">
        <v>27</v>
      </c>
      <c r="K15" s="48" t="s">
        <v>32</v>
      </c>
      <c r="L15" s="53" t="s">
        <v>42</v>
      </c>
      <c r="M15" s="54" t="s">
        <v>28</v>
      </c>
      <c r="N15" s="48" t="s">
        <v>29</v>
      </c>
      <c r="O15" s="53" t="s">
        <v>43</v>
      </c>
      <c r="P15" s="51" t="s">
        <v>30</v>
      </c>
      <c r="Q15" s="48" t="s">
        <v>31</v>
      </c>
      <c r="R15" s="53" t="s">
        <v>40</v>
      </c>
    </row>
    <row r="16" spans="1:18" ht="14.5" customHeight="1" x14ac:dyDescent="0.35">
      <c r="A16" s="110"/>
      <c r="B16" s="62" t="s">
        <v>109</v>
      </c>
      <c r="C16" s="63">
        <f>'AHP edit'!K132/4</f>
        <v>5.5369648833436196E-2</v>
      </c>
      <c r="E16" s="21" t="s">
        <v>10</v>
      </c>
      <c r="F16" s="39">
        <f>F7^2</f>
        <v>40000</v>
      </c>
      <c r="G16" s="39">
        <f t="shared" ref="G16:R16" si="0">G7^2</f>
        <v>20250000000000</v>
      </c>
      <c r="H16" s="39">
        <f t="shared" si="0"/>
        <v>32400</v>
      </c>
      <c r="I16" s="39">
        <f t="shared" si="0"/>
        <v>1225</v>
      </c>
      <c r="J16" s="39">
        <f t="shared" si="0"/>
        <v>49</v>
      </c>
      <c r="K16" s="39">
        <f t="shared" si="0"/>
        <v>9</v>
      </c>
      <c r="L16" s="39">
        <f t="shared" si="0"/>
        <v>49</v>
      </c>
      <c r="M16" s="39">
        <f t="shared" si="0"/>
        <v>4</v>
      </c>
      <c r="N16" s="39">
        <f t="shared" si="0"/>
        <v>25</v>
      </c>
      <c r="O16" s="39">
        <f t="shared" si="0"/>
        <v>64</v>
      </c>
      <c r="P16" s="39">
        <f t="shared" si="0"/>
        <v>36</v>
      </c>
      <c r="Q16" s="39">
        <f t="shared" si="0"/>
        <v>4</v>
      </c>
      <c r="R16" s="39">
        <f t="shared" si="0"/>
        <v>1</v>
      </c>
    </row>
    <row r="17" spans="3:18" x14ac:dyDescent="0.35">
      <c r="C17" s="2"/>
      <c r="E17" s="21" t="s">
        <v>11</v>
      </c>
      <c r="F17" s="39">
        <f t="shared" ref="F17:R17" si="1">F8^2</f>
        <v>57600</v>
      </c>
      <c r="G17" s="39">
        <f t="shared" si="1"/>
        <v>17640000000000</v>
      </c>
      <c r="H17" s="39">
        <f t="shared" si="1"/>
        <v>40000</v>
      </c>
      <c r="I17" s="39">
        <f t="shared" si="1"/>
        <v>1600</v>
      </c>
      <c r="J17" s="39">
        <f t="shared" si="1"/>
        <v>9</v>
      </c>
      <c r="K17" s="39">
        <f t="shared" si="1"/>
        <v>25</v>
      </c>
      <c r="L17" s="39">
        <f t="shared" si="1"/>
        <v>25</v>
      </c>
      <c r="M17" s="39">
        <f t="shared" si="1"/>
        <v>1</v>
      </c>
      <c r="N17" s="39">
        <f t="shared" si="1"/>
        <v>9</v>
      </c>
      <c r="O17" s="39">
        <f t="shared" si="1"/>
        <v>25</v>
      </c>
      <c r="P17" s="39">
        <f t="shared" si="1"/>
        <v>25</v>
      </c>
      <c r="Q17" s="39">
        <f t="shared" si="1"/>
        <v>25</v>
      </c>
      <c r="R17" s="39">
        <f t="shared" si="1"/>
        <v>9</v>
      </c>
    </row>
    <row r="18" spans="3:18" x14ac:dyDescent="0.35">
      <c r="E18" s="21" t="s">
        <v>12</v>
      </c>
      <c r="F18" s="39">
        <f t="shared" ref="F18:R18" si="2">F9^2</f>
        <v>25600</v>
      </c>
      <c r="G18" s="39">
        <f t="shared" si="2"/>
        <v>23040000000000</v>
      </c>
      <c r="H18" s="39">
        <f t="shared" si="2"/>
        <v>40000</v>
      </c>
      <c r="I18" s="39">
        <f t="shared" si="2"/>
        <v>1444</v>
      </c>
      <c r="J18" s="39">
        <f t="shared" si="2"/>
        <v>25</v>
      </c>
      <c r="K18" s="39">
        <f t="shared" si="2"/>
        <v>25</v>
      </c>
      <c r="L18" s="39">
        <f t="shared" si="2"/>
        <v>36</v>
      </c>
      <c r="M18" s="39">
        <f t="shared" si="2"/>
        <v>1</v>
      </c>
      <c r="N18" s="39">
        <f t="shared" si="2"/>
        <v>49</v>
      </c>
      <c r="O18" s="39">
        <f t="shared" si="2"/>
        <v>25</v>
      </c>
      <c r="P18" s="39">
        <f t="shared" si="2"/>
        <v>49</v>
      </c>
      <c r="Q18" s="39">
        <f t="shared" si="2"/>
        <v>9</v>
      </c>
      <c r="R18" s="39">
        <f t="shared" si="2"/>
        <v>25</v>
      </c>
    </row>
    <row r="19" spans="3:18" x14ac:dyDescent="0.35">
      <c r="E19" s="21" t="s">
        <v>13</v>
      </c>
      <c r="F19" s="39">
        <f t="shared" ref="F19:R19" si="3">F10^2</f>
        <v>48400</v>
      </c>
      <c r="G19" s="39">
        <f t="shared" si="3"/>
        <v>18490000000000</v>
      </c>
      <c r="H19" s="39">
        <f t="shared" si="3"/>
        <v>48400</v>
      </c>
      <c r="I19" s="39">
        <f t="shared" si="3"/>
        <v>2025</v>
      </c>
      <c r="J19" s="39">
        <f t="shared" si="3"/>
        <v>25</v>
      </c>
      <c r="K19" s="39">
        <f t="shared" si="3"/>
        <v>49</v>
      </c>
      <c r="L19" s="39">
        <f t="shared" si="3"/>
        <v>36</v>
      </c>
      <c r="M19" s="39">
        <f t="shared" si="3"/>
        <v>4</v>
      </c>
      <c r="N19" s="39">
        <f t="shared" si="3"/>
        <v>25</v>
      </c>
      <c r="O19" s="39">
        <f t="shared" si="3"/>
        <v>49</v>
      </c>
      <c r="P19" s="39">
        <f t="shared" si="3"/>
        <v>49</v>
      </c>
      <c r="Q19" s="64">
        <f>Q10^2</f>
        <v>0</v>
      </c>
      <c r="R19" s="39">
        <f t="shared" si="3"/>
        <v>1</v>
      </c>
    </row>
    <row r="20" spans="3:18" ht="15" thickBot="1" x14ac:dyDescent="0.4">
      <c r="E20" s="22" t="s">
        <v>14</v>
      </c>
      <c r="F20" s="39">
        <f t="shared" ref="F20:R20" si="4">F11^2</f>
        <v>32400</v>
      </c>
      <c r="G20" s="39">
        <f t="shared" si="4"/>
        <v>21160000000000</v>
      </c>
      <c r="H20" s="39">
        <f t="shared" si="4"/>
        <v>48400</v>
      </c>
      <c r="I20" s="39">
        <f t="shared" si="4"/>
        <v>1369</v>
      </c>
      <c r="J20" s="39">
        <f t="shared" si="4"/>
        <v>25</v>
      </c>
      <c r="K20" s="39">
        <f t="shared" si="4"/>
        <v>49</v>
      </c>
      <c r="L20" s="39">
        <f t="shared" si="4"/>
        <v>25</v>
      </c>
      <c r="M20" s="39">
        <f t="shared" si="4"/>
        <v>1</v>
      </c>
      <c r="N20" s="39">
        <f t="shared" si="4"/>
        <v>49</v>
      </c>
      <c r="O20" s="39">
        <f t="shared" si="4"/>
        <v>36</v>
      </c>
      <c r="P20" s="39">
        <f t="shared" si="4"/>
        <v>25</v>
      </c>
      <c r="Q20" s="39">
        <f t="shared" si="4"/>
        <v>4</v>
      </c>
      <c r="R20" s="39">
        <f t="shared" si="4"/>
        <v>9</v>
      </c>
    </row>
    <row r="21" spans="3:18" ht="15" thickBot="1" x14ac:dyDescent="0.4">
      <c r="E21" s="71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</row>
    <row r="22" spans="3:18" ht="15" thickBot="1" x14ac:dyDescent="0.4">
      <c r="E22" s="107" t="s">
        <v>128</v>
      </c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</row>
    <row r="23" spans="3:18" x14ac:dyDescent="0.35">
      <c r="E23" s="49" t="s">
        <v>9</v>
      </c>
      <c r="F23" s="93" t="s">
        <v>23</v>
      </c>
      <c r="G23" s="94"/>
      <c r="H23" s="94"/>
      <c r="I23" s="96"/>
      <c r="J23" s="93" t="s">
        <v>24</v>
      </c>
      <c r="K23" s="94"/>
      <c r="L23" s="95"/>
      <c r="M23" s="93" t="s">
        <v>25</v>
      </c>
      <c r="N23" s="94"/>
      <c r="O23" s="95"/>
      <c r="P23" s="93" t="s">
        <v>26</v>
      </c>
      <c r="Q23" s="94"/>
      <c r="R23" s="95"/>
    </row>
    <row r="24" spans="3:18" x14ac:dyDescent="0.35">
      <c r="E24" s="50"/>
      <c r="F24" s="51" t="s">
        <v>21</v>
      </c>
      <c r="G24" s="48" t="s">
        <v>22</v>
      </c>
      <c r="H24" s="48" t="s">
        <v>19</v>
      </c>
      <c r="I24" s="52" t="s">
        <v>20</v>
      </c>
      <c r="J24" s="51" t="s">
        <v>27</v>
      </c>
      <c r="K24" s="48" t="s">
        <v>32</v>
      </c>
      <c r="L24" s="53" t="s">
        <v>42</v>
      </c>
      <c r="M24" s="54" t="s">
        <v>28</v>
      </c>
      <c r="N24" s="48" t="s">
        <v>29</v>
      </c>
      <c r="O24" s="53" t="s">
        <v>43</v>
      </c>
      <c r="P24" s="51" t="s">
        <v>30</v>
      </c>
      <c r="Q24" s="48" t="s">
        <v>31</v>
      </c>
      <c r="R24" s="53" t="s">
        <v>40</v>
      </c>
    </row>
    <row r="25" spans="3:18" x14ac:dyDescent="0.35">
      <c r="E25" s="21" t="s">
        <v>10</v>
      </c>
      <c r="F25" s="65">
        <f>(F7/SQRT(SUM($F$16:$F$20)))*$C$4</f>
        <v>5.2105116638379294E-2</v>
      </c>
      <c r="G25" s="65">
        <f>(G7/SQRT(SUM($G$16:$G$20)))*$C$5</f>
        <v>3.1446692638433325E-2</v>
      </c>
      <c r="H25" s="65">
        <f>H7/SQRT(SUM($H$16:$H$20))*$C$6</f>
        <v>1.4179468177678555E-2</v>
      </c>
      <c r="I25" s="65">
        <f>I7/SQRT(SUM($I$16:$I$20))*$C$7</f>
        <v>1.0481717953708856E-2</v>
      </c>
      <c r="J25" s="65">
        <f>J7/SQRT(SUM($J$16:$J$20))*$C$8</f>
        <v>2.2322232372487722E-2</v>
      </c>
      <c r="K25" s="65">
        <f>K7/SQRT(SUM($K$16:$K$20))*$C$9</f>
        <v>3.6162976386266345E-2</v>
      </c>
      <c r="L25" s="65">
        <f>L7/SQRT(SUM($L$16:$L$20))*$C$10</f>
        <v>3.3287121946096607E-2</v>
      </c>
      <c r="M25" s="65">
        <f>M7/SQRT(SUM($M$16:$M$20))*$C$11</f>
        <v>8.7058910353838725E-2</v>
      </c>
      <c r="N25" s="65">
        <f>N7/SQRT(SUM($N$16:$N$20))*$C$12</f>
        <v>1.1355332724585391E-2</v>
      </c>
      <c r="O25" s="65">
        <f>O7/SQRT(SUM($O$16:$O$20))*$C$13</f>
        <v>4.3765048252554888E-2</v>
      </c>
      <c r="P25" s="65">
        <f>P7/SQRT(SUM($P$16:$P$20))*$C$14</f>
        <v>5.5220924274759615E-2</v>
      </c>
      <c r="Q25" s="65">
        <f>Q7/SQRT(SUM($Q$16:$Q$20))*$C$15</f>
        <v>2.1537098184526385E-2</v>
      </c>
      <c r="R25" s="65">
        <f>R7/SQRT(SUM($R$16:$R$20))*$C$16</f>
        <v>8.2540199121236852E-3</v>
      </c>
    </row>
    <row r="26" spans="3:18" x14ac:dyDescent="0.35">
      <c r="E26" s="21" t="s">
        <v>11</v>
      </c>
      <c r="F26" s="65">
        <f>(F8/SQRT(SUM($F$16:$F$20)))*$C$4</f>
        <v>6.2526139966055161E-2</v>
      </c>
      <c r="G26" s="65">
        <f t="shared" ref="G26:G29" si="5">(G8/SQRT(SUM($G$16:$G$20)))*$C$5</f>
        <v>2.9350246462537768E-2</v>
      </c>
      <c r="H26" s="65">
        <f t="shared" ref="H26:H29" si="6">H8/SQRT(SUM($H$16:$H$20))*$C$6</f>
        <v>1.5754964641865061E-2</v>
      </c>
      <c r="I26" s="65">
        <f t="shared" ref="I26:I29" si="7">I8/SQRT(SUM($I$16:$I$20))*$C$7</f>
        <v>1.1979106232810122E-2</v>
      </c>
      <c r="J26" s="65">
        <f t="shared" ref="J26:J29" si="8">J8/SQRT(SUM($J$16:$J$20))*$C$8</f>
        <v>9.5666710167804508E-3</v>
      </c>
      <c r="K26" s="65">
        <f t="shared" ref="K26:K29" si="9">K8/SQRT(SUM($K$16:$K$20))*$C$9</f>
        <v>6.0271627310443901E-2</v>
      </c>
      <c r="L26" s="65">
        <f t="shared" ref="L26:L29" si="10">L8/SQRT(SUM($L$16:$L$20))*$C$10</f>
        <v>2.3776515675783292E-2</v>
      </c>
      <c r="M26" s="65">
        <f t="shared" ref="M26:M29" si="11">M8/SQRT(SUM($M$16:$M$20))*$C$11</f>
        <v>4.3529455176919363E-2</v>
      </c>
      <c r="N26" s="65">
        <f t="shared" ref="N26:N29" si="12">N8/SQRT(SUM($N$16:$N$20))*$C$12</f>
        <v>6.8131996347512349E-3</v>
      </c>
      <c r="O26" s="65">
        <f t="shared" ref="O26:O29" si="13">O8/SQRT(SUM($O$16:$O$20))*$C$13</f>
        <v>2.7353155157846806E-2</v>
      </c>
      <c r="P26" s="65">
        <f t="shared" ref="P26:P29" si="14">P8/SQRT(SUM($P$16:$P$20))*$C$14</f>
        <v>4.6017436895633014E-2</v>
      </c>
      <c r="Q26" s="65">
        <f t="shared" ref="Q26:Q29" si="15">Q8/SQRT(SUM($Q$16:$Q$20))*$C$15</f>
        <v>5.3842745461315962E-2</v>
      </c>
      <c r="R26" s="65">
        <f t="shared" ref="R26:R28" si="16">R8/SQRT(SUM($R$16:$R$20))*$C$16</f>
        <v>2.476205973637105E-2</v>
      </c>
    </row>
    <row r="27" spans="3:18" x14ac:dyDescent="0.35">
      <c r="E27" s="21" t="s">
        <v>12</v>
      </c>
      <c r="F27" s="65">
        <f t="shared" ref="F27:F29" si="17">(F9/SQRT(SUM($F$16:$F$20)))*$C$4</f>
        <v>4.1684093310703434E-2</v>
      </c>
      <c r="G27" s="65">
        <f t="shared" si="5"/>
        <v>3.3543138814328875E-2</v>
      </c>
      <c r="H27" s="65">
        <f t="shared" si="6"/>
        <v>1.5754964641865061E-2</v>
      </c>
      <c r="I27" s="65">
        <f t="shared" si="7"/>
        <v>1.1380150921169615E-2</v>
      </c>
      <c r="J27" s="65">
        <f t="shared" si="8"/>
        <v>1.5944451694634085E-2</v>
      </c>
      <c r="K27" s="65">
        <f t="shared" si="9"/>
        <v>6.0271627310443901E-2</v>
      </c>
      <c r="L27" s="65">
        <f t="shared" si="10"/>
        <v>2.8531818810939948E-2</v>
      </c>
      <c r="M27" s="65">
        <f t="shared" si="11"/>
        <v>4.3529455176919363E-2</v>
      </c>
      <c r="N27" s="65">
        <f t="shared" si="12"/>
        <v>1.5897465814419549E-2</v>
      </c>
      <c r="O27" s="65">
        <f t="shared" si="13"/>
        <v>2.7353155157846806E-2</v>
      </c>
      <c r="P27" s="65">
        <f t="shared" si="14"/>
        <v>6.4424411653886224E-2</v>
      </c>
      <c r="Q27" s="65">
        <f t="shared" si="15"/>
        <v>3.2305647276789577E-2</v>
      </c>
      <c r="R27" s="65">
        <f t="shared" si="16"/>
        <v>4.1270099560618424E-2</v>
      </c>
    </row>
    <row r="28" spans="3:18" x14ac:dyDescent="0.35">
      <c r="E28" s="21" t="s">
        <v>13</v>
      </c>
      <c r="F28" s="65">
        <f t="shared" si="17"/>
        <v>5.7315628302217231E-2</v>
      </c>
      <c r="G28" s="65">
        <f t="shared" si="5"/>
        <v>3.0049061854502953E-2</v>
      </c>
      <c r="H28" s="65">
        <f t="shared" si="6"/>
        <v>1.7330461106051565E-2</v>
      </c>
      <c r="I28" s="65">
        <f t="shared" si="7"/>
        <v>1.3476494511911385E-2</v>
      </c>
      <c r="J28" s="65">
        <f t="shared" si="8"/>
        <v>1.5944451694634085E-2</v>
      </c>
      <c r="K28" s="65">
        <f t="shared" si="9"/>
        <v>8.4380278234621478E-2</v>
      </c>
      <c r="L28" s="65">
        <f t="shared" si="10"/>
        <v>2.8531818810939948E-2</v>
      </c>
      <c r="M28" s="65">
        <f t="shared" si="11"/>
        <v>8.7058910353838725E-2</v>
      </c>
      <c r="N28" s="65">
        <f t="shared" si="12"/>
        <v>1.1355332724585391E-2</v>
      </c>
      <c r="O28" s="65">
        <f t="shared" si="13"/>
        <v>3.8294417220985526E-2</v>
      </c>
      <c r="P28" s="65">
        <f t="shared" si="14"/>
        <v>6.4424411653886224E-2</v>
      </c>
      <c r="Q28" s="65">
        <f t="shared" si="15"/>
        <v>0</v>
      </c>
      <c r="R28" s="65">
        <f t="shared" si="16"/>
        <v>8.2540199121236852E-3</v>
      </c>
    </row>
    <row r="29" spans="3:18" ht="15" thickBot="1" x14ac:dyDescent="0.4">
      <c r="E29" s="22" t="s">
        <v>14</v>
      </c>
      <c r="F29" s="65">
        <f t="shared" si="17"/>
        <v>4.6894604974541371E-2</v>
      </c>
      <c r="G29" s="65">
        <f t="shared" si="5"/>
        <v>3.2145508030398506E-2</v>
      </c>
      <c r="H29" s="65">
        <f t="shared" si="6"/>
        <v>1.7330461106051565E-2</v>
      </c>
      <c r="I29" s="65">
        <f t="shared" si="7"/>
        <v>1.1080673265349361E-2</v>
      </c>
      <c r="J29" s="65">
        <f t="shared" si="8"/>
        <v>1.5944451694634085E-2</v>
      </c>
      <c r="K29" s="65">
        <f t="shared" si="9"/>
        <v>8.4380278234621478E-2</v>
      </c>
      <c r="L29" s="65">
        <f t="shared" si="10"/>
        <v>2.3776515675783292E-2</v>
      </c>
      <c r="M29" s="65">
        <f t="shared" si="11"/>
        <v>4.3529455176919363E-2</v>
      </c>
      <c r="N29" s="65">
        <f t="shared" si="12"/>
        <v>1.5897465814419549E-2</v>
      </c>
      <c r="O29" s="65">
        <f t="shared" si="13"/>
        <v>3.2823786189416164E-2</v>
      </c>
      <c r="P29" s="65">
        <f t="shared" si="14"/>
        <v>4.6017436895633014E-2</v>
      </c>
      <c r="Q29" s="65">
        <f t="shared" si="15"/>
        <v>2.1537098184526385E-2</v>
      </c>
      <c r="R29" s="65">
        <f>R11/SQRT(SUM($R$16:$R$20))*$C$16</f>
        <v>2.476205973637105E-2</v>
      </c>
    </row>
    <row r="30" spans="3:18" x14ac:dyDescent="0.35">
      <c r="E30" s="73" t="s">
        <v>125</v>
      </c>
      <c r="F30" s="75">
        <f t="shared" ref="F30:H30" si="18">MAX(F24:F28)</f>
        <v>6.2526139966055161E-2</v>
      </c>
      <c r="G30" s="75">
        <f t="shared" si="18"/>
        <v>3.3543138814328875E-2</v>
      </c>
      <c r="H30" s="75">
        <f t="shared" si="18"/>
        <v>1.7330461106051565E-2</v>
      </c>
      <c r="I30" s="75">
        <f>MAX(I24:I28)</f>
        <v>1.3476494511911385E-2</v>
      </c>
      <c r="J30" s="75">
        <f t="shared" ref="J30:Q30" si="19">MAX(J24:J28)</f>
        <v>2.2322232372487722E-2</v>
      </c>
      <c r="K30" s="75">
        <f t="shared" si="19"/>
        <v>8.4380278234621478E-2</v>
      </c>
      <c r="L30" s="75">
        <f t="shared" si="19"/>
        <v>3.3287121946096607E-2</v>
      </c>
      <c r="M30" s="75">
        <f t="shared" si="19"/>
        <v>8.7058910353838725E-2</v>
      </c>
      <c r="N30" s="75">
        <f t="shared" si="19"/>
        <v>1.5897465814419549E-2</v>
      </c>
      <c r="O30" s="75">
        <f t="shared" si="19"/>
        <v>4.3765048252554888E-2</v>
      </c>
      <c r="P30" s="75">
        <f t="shared" si="19"/>
        <v>6.4424411653886224E-2</v>
      </c>
      <c r="Q30" s="75">
        <f t="shared" si="19"/>
        <v>5.3842745461315962E-2</v>
      </c>
      <c r="R30" s="75">
        <f>MAX(R24:R28)</f>
        <v>4.1270099560618424E-2</v>
      </c>
    </row>
    <row r="31" spans="3:18" x14ac:dyDescent="0.35">
      <c r="E31" s="79" t="s">
        <v>124</v>
      </c>
      <c r="F31" s="75">
        <f t="shared" ref="F31:R31" si="20">MIN(F25:F29)</f>
        <v>4.1684093310703434E-2</v>
      </c>
      <c r="G31" s="75">
        <f t="shared" si="20"/>
        <v>2.9350246462537768E-2</v>
      </c>
      <c r="H31" s="75">
        <f t="shared" si="20"/>
        <v>1.4179468177678555E-2</v>
      </c>
      <c r="I31" s="75">
        <f t="shared" ref="I31" si="21">MIN(I25:I29)</f>
        <v>1.0481717953708856E-2</v>
      </c>
      <c r="J31" s="75">
        <f t="shared" si="20"/>
        <v>9.5666710167804508E-3</v>
      </c>
      <c r="K31" s="75">
        <f t="shared" si="20"/>
        <v>3.6162976386266345E-2</v>
      </c>
      <c r="L31" s="75">
        <f t="shared" si="20"/>
        <v>2.3776515675783292E-2</v>
      </c>
      <c r="M31" s="75">
        <f t="shared" si="20"/>
        <v>4.3529455176919363E-2</v>
      </c>
      <c r="N31" s="75">
        <f t="shared" si="20"/>
        <v>6.8131996347512349E-3</v>
      </c>
      <c r="O31" s="75">
        <f t="shared" si="20"/>
        <v>2.7353155157846806E-2</v>
      </c>
      <c r="P31" s="75">
        <f t="shared" si="20"/>
        <v>4.6017436895633014E-2</v>
      </c>
      <c r="Q31" s="75">
        <f t="shared" si="20"/>
        <v>0</v>
      </c>
      <c r="R31" s="75">
        <f t="shared" si="20"/>
        <v>8.2540199121236852E-3</v>
      </c>
    </row>
    <row r="32" spans="3:18" x14ac:dyDescent="0.35">
      <c r="E32" s="80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</row>
    <row r="33" spans="5:19" x14ac:dyDescent="0.35">
      <c r="E33" s="80" t="s">
        <v>132</v>
      </c>
      <c r="F33" s="43" t="s">
        <v>77</v>
      </c>
      <c r="G33" s="44" t="s">
        <v>77</v>
      </c>
      <c r="H33" s="45" t="s">
        <v>77</v>
      </c>
      <c r="I33" t="s">
        <v>78</v>
      </c>
      <c r="J33" t="s">
        <v>78</v>
      </c>
      <c r="K33" t="s">
        <v>78</v>
      </c>
      <c r="L33" t="s">
        <v>78</v>
      </c>
      <c r="M33" s="45" t="s">
        <v>77</v>
      </c>
      <c r="N33" t="s">
        <v>78</v>
      </c>
      <c r="O33" t="s">
        <v>78</v>
      </c>
      <c r="P33" t="s">
        <v>78</v>
      </c>
      <c r="Q33" s="45" t="s">
        <v>77</v>
      </c>
      <c r="R33" t="s">
        <v>78</v>
      </c>
    </row>
    <row r="34" spans="5:19" x14ac:dyDescent="0.35">
      <c r="E34" s="80" t="s">
        <v>133</v>
      </c>
      <c r="F34" s="74" t="s">
        <v>78</v>
      </c>
      <c r="G34" t="s">
        <v>78</v>
      </c>
      <c r="H34" t="s">
        <v>78</v>
      </c>
      <c r="I34" s="45" t="s">
        <v>77</v>
      </c>
      <c r="J34" s="45" t="s">
        <v>77</v>
      </c>
      <c r="K34" s="45" t="s">
        <v>77</v>
      </c>
      <c r="L34" s="45" t="s">
        <v>77</v>
      </c>
      <c r="M34" t="s">
        <v>78</v>
      </c>
      <c r="N34" s="45" t="s">
        <v>77</v>
      </c>
      <c r="O34" s="45" t="s">
        <v>77</v>
      </c>
      <c r="P34" s="45" t="s">
        <v>77</v>
      </c>
      <c r="Q34" t="s">
        <v>78</v>
      </c>
      <c r="R34" s="45" t="s">
        <v>77</v>
      </c>
    </row>
    <row r="35" spans="5:19" x14ac:dyDescent="0.35">
      <c r="E35" s="80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</row>
    <row r="36" spans="5:19" x14ac:dyDescent="0.35">
      <c r="E36" s="7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</row>
    <row r="37" spans="5:19" ht="15" thickBot="1" x14ac:dyDescent="0.4">
      <c r="E37" s="113" t="s">
        <v>130</v>
      </c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4"/>
      <c r="S37" s="78"/>
    </row>
    <row r="38" spans="5:19" x14ac:dyDescent="0.35">
      <c r="E38" s="49" t="s">
        <v>9</v>
      </c>
      <c r="F38" s="93" t="s">
        <v>23</v>
      </c>
      <c r="G38" s="94"/>
      <c r="H38" s="94"/>
      <c r="I38" s="96"/>
      <c r="J38" s="93" t="s">
        <v>24</v>
      </c>
      <c r="K38" s="94"/>
      <c r="L38" s="95"/>
      <c r="M38" s="93" t="s">
        <v>25</v>
      </c>
      <c r="N38" s="94"/>
      <c r="O38" s="95"/>
      <c r="P38" s="93" t="s">
        <v>26</v>
      </c>
      <c r="Q38" s="94"/>
      <c r="R38" s="96"/>
      <c r="S38" s="115" t="s">
        <v>126</v>
      </c>
    </row>
    <row r="39" spans="5:19" x14ac:dyDescent="0.35">
      <c r="E39" s="50"/>
      <c r="F39" s="51" t="s">
        <v>21</v>
      </c>
      <c r="G39" s="48" t="s">
        <v>22</v>
      </c>
      <c r="H39" s="48" t="s">
        <v>19</v>
      </c>
      <c r="I39" s="52" t="s">
        <v>20</v>
      </c>
      <c r="J39" s="51" t="s">
        <v>27</v>
      </c>
      <c r="K39" s="48" t="s">
        <v>32</v>
      </c>
      <c r="L39" s="53" t="s">
        <v>42</v>
      </c>
      <c r="M39" s="54" t="s">
        <v>28</v>
      </c>
      <c r="N39" s="48" t="s">
        <v>29</v>
      </c>
      <c r="O39" s="53" t="s">
        <v>43</v>
      </c>
      <c r="P39" s="51" t="s">
        <v>30</v>
      </c>
      <c r="Q39" s="48" t="s">
        <v>31</v>
      </c>
      <c r="R39" s="52" t="s">
        <v>40</v>
      </c>
      <c r="S39" s="116"/>
    </row>
    <row r="40" spans="5:19" x14ac:dyDescent="0.35">
      <c r="E40" s="21" t="s">
        <v>10</v>
      </c>
      <c r="F40" s="65">
        <f>($F$30-F25)^2</f>
        <v>1.0859772719596461E-4</v>
      </c>
      <c r="G40" s="65">
        <f t="shared" ref="G40" si="22">($G$30-G25)^2</f>
        <v>4.3950865684270749E-6</v>
      </c>
      <c r="H40" s="65">
        <f t="shared" ref="H40" si="23">($H$30-H25)^2</f>
        <v>9.9287564346567189E-6</v>
      </c>
      <c r="I40" s="65">
        <f t="shared" ref="I40" si="24">($I$30-I25)^2</f>
        <v>8.9686866335593834E-6</v>
      </c>
      <c r="J40" s="65">
        <f t="shared" ref="J40" si="25">($J$30-J25)^2</f>
        <v>0</v>
      </c>
      <c r="K40" s="65">
        <f t="shared" ref="K40" si="26">($K$30-K25)^2</f>
        <v>2.3249081975353914E-3</v>
      </c>
      <c r="L40" s="65">
        <f t="shared" ref="L40" si="27">($L$30-L25)^2</f>
        <v>0</v>
      </c>
      <c r="M40" s="65">
        <f t="shared" ref="M40" si="28">($M$30-M25)^2</f>
        <v>0</v>
      </c>
      <c r="N40" s="65">
        <f t="shared" ref="N40" si="29">($N$30-N25)^2</f>
        <v>2.0630973005766393E-5</v>
      </c>
      <c r="O40" s="65">
        <f t="shared" ref="O40" si="30">($O$30-O25)^2</f>
        <v>0</v>
      </c>
      <c r="P40" s="65">
        <f t="shared" ref="P40" si="31">($P$30-P25)^2</f>
        <v>8.470417993774276E-5</v>
      </c>
      <c r="Q40" s="65">
        <f t="shared" ref="Q40" si="32">($Q$30-Q25)^2</f>
        <v>1.0436548459723419E-3</v>
      </c>
      <c r="R40" s="65">
        <f t="shared" ref="R40" si="33">($R$30-R25)^2</f>
        <v>1.0900615153557486E-3</v>
      </c>
      <c r="S40" s="68">
        <f>SQRT(SUM(F40:R40))</f>
        <v>6.8526272105226896E-2</v>
      </c>
    </row>
    <row r="41" spans="5:19" x14ac:dyDescent="0.35">
      <c r="E41" s="21" t="s">
        <v>11</v>
      </c>
      <c r="F41" s="65">
        <f t="shared" ref="F41:F44" si="34">($F$30-F26)^2</f>
        <v>0</v>
      </c>
      <c r="G41" s="65">
        <f>($G$30-G26)^2</f>
        <v>1.7580346273708357E-5</v>
      </c>
      <c r="H41" s="65">
        <f>($H$30-H26)^2</f>
        <v>2.4821891086641772E-6</v>
      </c>
      <c r="I41" s="65">
        <f>($I$30-I26)^2</f>
        <v>2.2421716583898433E-6</v>
      </c>
      <c r="J41" s="65">
        <f>($J$30-J26)^2</f>
        <v>1.6270434549921271E-4</v>
      </c>
      <c r="K41" s="65">
        <f>($K$30-K26)^2</f>
        <v>5.8122704938384838E-4</v>
      </c>
      <c r="L41" s="65">
        <f>($L$30-L26)^2</f>
        <v>9.0451631628922944E-5</v>
      </c>
      <c r="M41" s="65">
        <f>($M$30-M26)^2</f>
        <v>1.8948134679994319E-3</v>
      </c>
      <c r="N41" s="65">
        <f>($N$30-N26)^2</f>
        <v>8.2523892023065543E-5</v>
      </c>
      <c r="O41" s="65">
        <f>($O$30-O26)^2</f>
        <v>2.6935023495212683E-4</v>
      </c>
      <c r="P41" s="65">
        <f>($P$30-P26)^2</f>
        <v>3.3881671975097082E-4</v>
      </c>
      <c r="Q41" s="65">
        <f>($Q$30-Q26)^2</f>
        <v>0</v>
      </c>
      <c r="R41" s="65">
        <f>($R$30-R26)^2</f>
        <v>2.7251537883893725E-4</v>
      </c>
      <c r="S41" s="68">
        <f t="shared" ref="S41:S44" si="35">SQRT(SUM(F41:R41))</f>
        <v>6.0948399709239938E-2</v>
      </c>
    </row>
    <row r="42" spans="5:19" x14ac:dyDescent="0.35">
      <c r="E42" s="21" t="s">
        <v>12</v>
      </c>
      <c r="F42" s="65">
        <f t="shared" si="34"/>
        <v>4.3439090878385811E-4</v>
      </c>
      <c r="G42" s="65">
        <f t="shared" ref="G42:G44" si="36">($G$30-G27)^2</f>
        <v>0</v>
      </c>
      <c r="H42" s="65">
        <f t="shared" ref="H42:H44" si="37">($H$30-H27)^2</f>
        <v>2.4821891086641772E-6</v>
      </c>
      <c r="I42" s="65">
        <f t="shared" ref="I42:I44" si="38">($I$30-I27)^2</f>
        <v>4.3946564504440983E-6</v>
      </c>
      <c r="J42" s="65">
        <f t="shared" ref="J42:J44" si="39">($J$30-J27)^2</f>
        <v>4.0676086374803199E-5</v>
      </c>
      <c r="K42" s="65">
        <f t="shared" ref="K42:K44" si="40">($K$30-K27)^2</f>
        <v>5.8122704938384838E-4</v>
      </c>
      <c r="L42" s="65">
        <f t="shared" ref="L42:L44" si="41">($L$30-L27)^2</f>
        <v>2.2612907907230749E-5</v>
      </c>
      <c r="M42" s="65">
        <f t="shared" ref="M42:M44" si="42">($M$30-M27)^2</f>
        <v>1.8948134679994319E-3</v>
      </c>
      <c r="N42" s="65">
        <f t="shared" ref="N42:N44" si="43">($N$30-N27)^2</f>
        <v>0</v>
      </c>
      <c r="O42" s="65">
        <f t="shared" ref="O42:O44" si="44">($O$30-O27)^2</f>
        <v>2.6935023495212683E-4</v>
      </c>
      <c r="P42" s="65">
        <f t="shared" ref="P42:P44" si="45">($P$30-P27)^2</f>
        <v>0</v>
      </c>
      <c r="Q42" s="65">
        <f t="shared" ref="Q42:Q44" si="46">($Q$30-Q27)^2</f>
        <v>4.6384659820992969E-4</v>
      </c>
      <c r="R42" s="65">
        <f t="shared" ref="R42:R44" si="47">($R$30-R27)^2</f>
        <v>0</v>
      </c>
      <c r="S42" s="68">
        <f t="shared" si="35"/>
        <v>6.094090661592045E-2</v>
      </c>
    </row>
    <row r="43" spans="5:19" x14ac:dyDescent="0.35">
      <c r="E43" s="21" t="s">
        <v>13</v>
      </c>
      <c r="F43" s="65">
        <f t="shared" si="34"/>
        <v>2.7149431798991115E-5</v>
      </c>
      <c r="G43" s="65">
        <f t="shared" si="36"/>
        <v>1.220857380118636E-5</v>
      </c>
      <c r="H43" s="65">
        <f t="shared" si="37"/>
        <v>0</v>
      </c>
      <c r="I43" s="65">
        <f t="shared" si="38"/>
        <v>0</v>
      </c>
      <c r="J43" s="65">
        <f t="shared" si="39"/>
        <v>4.0676086374803199E-5</v>
      </c>
      <c r="K43" s="65">
        <f t="shared" si="40"/>
        <v>0</v>
      </c>
      <c r="L43" s="65">
        <f t="shared" si="41"/>
        <v>2.2612907907230749E-5</v>
      </c>
      <c r="M43" s="65">
        <f t="shared" si="42"/>
        <v>0</v>
      </c>
      <c r="N43" s="65">
        <f t="shared" si="43"/>
        <v>2.0630973005766393E-5</v>
      </c>
      <c r="O43" s="65">
        <f t="shared" si="44"/>
        <v>2.9927803883569659E-5</v>
      </c>
      <c r="P43" s="65">
        <f t="shared" si="45"/>
        <v>0</v>
      </c>
      <c r="Q43" s="65">
        <f t="shared" si="46"/>
        <v>2.8990412388120606E-3</v>
      </c>
      <c r="R43" s="65">
        <f t="shared" si="47"/>
        <v>1.0900615153557486E-3</v>
      </c>
      <c r="S43" s="68">
        <f t="shared" si="35"/>
        <v>6.4360768570141835E-2</v>
      </c>
    </row>
    <row r="44" spans="5:19" x14ac:dyDescent="0.35">
      <c r="E44" s="67" t="s">
        <v>14</v>
      </c>
      <c r="F44" s="65">
        <f t="shared" si="34"/>
        <v>2.4434488619092003E-4</v>
      </c>
      <c r="G44" s="65">
        <f t="shared" si="36"/>
        <v>1.9533718081898176E-6</v>
      </c>
      <c r="H44" s="65">
        <f t="shared" si="37"/>
        <v>0</v>
      </c>
      <c r="I44" s="65">
        <f t="shared" si="38"/>
        <v>5.7399594454780089E-6</v>
      </c>
      <c r="J44" s="65">
        <f t="shared" si="39"/>
        <v>4.0676086374803199E-5</v>
      </c>
      <c r="K44" s="65">
        <f t="shared" si="40"/>
        <v>0</v>
      </c>
      <c r="L44" s="65">
        <f t="shared" si="41"/>
        <v>9.0451631628922944E-5</v>
      </c>
      <c r="M44" s="65">
        <f t="shared" si="42"/>
        <v>1.8948134679994319E-3</v>
      </c>
      <c r="N44" s="65">
        <f t="shared" si="43"/>
        <v>0</v>
      </c>
      <c r="O44" s="65">
        <f t="shared" si="44"/>
        <v>1.1971121553427864E-4</v>
      </c>
      <c r="P44" s="65">
        <f t="shared" si="45"/>
        <v>3.3881671975097082E-4</v>
      </c>
      <c r="Q44" s="65">
        <f t="shared" si="46"/>
        <v>1.0436548459723419E-3</v>
      </c>
      <c r="R44" s="65">
        <f t="shared" si="47"/>
        <v>2.7251537883893725E-4</v>
      </c>
      <c r="S44" s="68">
        <f t="shared" si="35"/>
        <v>6.3660643756910551E-2</v>
      </c>
    </row>
    <row r="46" spans="5:19" ht="15" thickBot="1" x14ac:dyDescent="0.4">
      <c r="E46" s="113" t="s">
        <v>131</v>
      </c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4"/>
    </row>
    <row r="47" spans="5:19" x14ac:dyDescent="0.35">
      <c r="E47" s="49" t="s">
        <v>9</v>
      </c>
      <c r="F47" s="93" t="s">
        <v>23</v>
      </c>
      <c r="G47" s="94"/>
      <c r="H47" s="94"/>
      <c r="I47" s="96"/>
      <c r="J47" s="93" t="s">
        <v>24</v>
      </c>
      <c r="K47" s="94"/>
      <c r="L47" s="95"/>
      <c r="M47" s="93" t="s">
        <v>25</v>
      </c>
      <c r="N47" s="94"/>
      <c r="O47" s="95"/>
      <c r="P47" s="93" t="s">
        <v>26</v>
      </c>
      <c r="Q47" s="94"/>
      <c r="R47" s="96"/>
      <c r="S47" s="115" t="s">
        <v>127</v>
      </c>
    </row>
    <row r="48" spans="5:19" x14ac:dyDescent="0.35">
      <c r="E48" s="50"/>
      <c r="F48" s="51" t="s">
        <v>21</v>
      </c>
      <c r="G48" s="48" t="s">
        <v>22</v>
      </c>
      <c r="H48" s="48" t="s">
        <v>19</v>
      </c>
      <c r="I48" s="52" t="s">
        <v>20</v>
      </c>
      <c r="J48" s="51" t="s">
        <v>27</v>
      </c>
      <c r="K48" s="48" t="s">
        <v>32</v>
      </c>
      <c r="L48" s="53" t="s">
        <v>42</v>
      </c>
      <c r="M48" s="54" t="s">
        <v>28</v>
      </c>
      <c r="N48" s="48" t="s">
        <v>29</v>
      </c>
      <c r="O48" s="53" t="s">
        <v>43</v>
      </c>
      <c r="P48" s="51" t="s">
        <v>30</v>
      </c>
      <c r="Q48" s="48" t="s">
        <v>31</v>
      </c>
      <c r="R48" s="52" t="s">
        <v>40</v>
      </c>
      <c r="S48" s="116"/>
    </row>
    <row r="49" spans="5:19" x14ac:dyDescent="0.35">
      <c r="E49" s="21" t="s">
        <v>10</v>
      </c>
      <c r="F49" s="65">
        <f>(F25-$F$31)^2</f>
        <v>1.0859772719596446E-4</v>
      </c>
      <c r="G49" s="65">
        <f>(G25-$G$31)^2</f>
        <v>4.3950865684271046E-6</v>
      </c>
      <c r="H49" s="65">
        <f>(H25-$H$31)^2</f>
        <v>0</v>
      </c>
      <c r="I49" s="65">
        <f>(I25-$I$31)^2</f>
        <v>0</v>
      </c>
      <c r="J49" s="65">
        <f>(J25-$J$31)^2</f>
        <v>1.6270434549921271E-4</v>
      </c>
      <c r="K49" s="65">
        <f>(K25-$K$31)^2</f>
        <v>0</v>
      </c>
      <c r="L49" s="65">
        <f>(L25-$L$31)^2</f>
        <v>9.0451631628922944E-5</v>
      </c>
      <c r="M49" s="65">
        <f>(M25-$M$31)^2</f>
        <v>1.8948134679994319E-3</v>
      </c>
      <c r="N49" s="65">
        <f>(N25-$N$31)^2</f>
        <v>2.0630973005766376E-5</v>
      </c>
      <c r="O49" s="65">
        <f>(O25-$O$31)^2</f>
        <v>2.6935023495212683E-4</v>
      </c>
      <c r="P49" s="65">
        <f>(P25-$P$31)^2</f>
        <v>8.4704179937742638E-5</v>
      </c>
      <c r="Q49" s="65">
        <f>(Q25-$Q$31)^2</f>
        <v>4.6384659820992969E-4</v>
      </c>
      <c r="R49" s="65">
        <f>(R25-$R$31)^2</f>
        <v>0</v>
      </c>
      <c r="S49" s="65">
        <f>SQRT(SUM(F49:R49))</f>
        <v>5.5673101629040982E-2</v>
      </c>
    </row>
    <row r="50" spans="5:19" x14ac:dyDescent="0.35">
      <c r="E50" s="21" t="s">
        <v>11</v>
      </c>
      <c r="F50" s="65">
        <f t="shared" ref="F50:F53" si="48">(F26-$F$31)^2</f>
        <v>4.3439090878385811E-4</v>
      </c>
      <c r="G50" s="65">
        <f t="shared" ref="G50:G53" si="49">(G26-$G$31)^2</f>
        <v>0</v>
      </c>
      <c r="H50" s="65">
        <f t="shared" ref="H50:H53" si="50">(H26-$H$31)^2</f>
        <v>2.4821891086641827E-6</v>
      </c>
      <c r="I50" s="65">
        <f t="shared" ref="I50:I53" si="51">(I26-$I$31)^2</f>
        <v>2.2421716583898484E-6</v>
      </c>
      <c r="J50" s="65">
        <f t="shared" ref="J50:J53" si="52">(J26-$J$31)^2</f>
        <v>0</v>
      </c>
      <c r="K50" s="65">
        <f t="shared" ref="K50:K53" si="53">(K26-$K$31)^2</f>
        <v>5.812270493838473E-4</v>
      </c>
      <c r="L50" s="65">
        <f t="shared" ref="L50:L53" si="54">(L26-$L$31)^2</f>
        <v>0</v>
      </c>
      <c r="M50" s="65">
        <f t="shared" ref="M50:M53" si="55">(M26-$M$31)^2</f>
        <v>0</v>
      </c>
      <c r="N50" s="65">
        <f t="shared" ref="N50:N53" si="56">(N26-$N$31)^2</f>
        <v>0</v>
      </c>
      <c r="O50" s="65">
        <f t="shared" ref="O50:O53" si="57">(O26-$O$31)^2</f>
        <v>0</v>
      </c>
      <c r="P50" s="65">
        <f t="shared" ref="P50:P53" si="58">(P26-$P$31)^2</f>
        <v>0</v>
      </c>
      <c r="Q50" s="65">
        <f t="shared" ref="Q50:Q53" si="59">(Q26-$Q$31)^2</f>
        <v>2.8990412388120606E-3</v>
      </c>
      <c r="R50" s="65">
        <f t="shared" ref="R50:R53" si="60">(R26-$R$31)^2</f>
        <v>2.7251537883893703E-4</v>
      </c>
      <c r="S50" s="65">
        <f t="shared" ref="S50:S53" si="61">SQRT(SUM(F50:R50))</f>
        <v>6.4744875755427603E-2</v>
      </c>
    </row>
    <row r="51" spans="5:19" x14ac:dyDescent="0.35">
      <c r="E51" s="21" t="s">
        <v>12</v>
      </c>
      <c r="F51" s="65">
        <f t="shared" si="48"/>
        <v>0</v>
      </c>
      <c r="G51" s="65">
        <f t="shared" si="49"/>
        <v>1.7580346273708357E-5</v>
      </c>
      <c r="H51" s="65">
        <f t="shared" si="50"/>
        <v>2.4821891086641827E-6</v>
      </c>
      <c r="I51" s="65">
        <f t="shared" si="51"/>
        <v>8.0718179702034426E-7</v>
      </c>
      <c r="J51" s="65">
        <f t="shared" si="52"/>
        <v>4.0676086374803158E-5</v>
      </c>
      <c r="K51" s="65">
        <f t="shared" si="53"/>
        <v>5.812270493838473E-4</v>
      </c>
      <c r="L51" s="65">
        <f t="shared" si="54"/>
        <v>2.2612907907230719E-5</v>
      </c>
      <c r="M51" s="65">
        <f t="shared" si="55"/>
        <v>0</v>
      </c>
      <c r="N51" s="65">
        <f t="shared" si="56"/>
        <v>8.2523892023065543E-5</v>
      </c>
      <c r="O51" s="65">
        <f t="shared" si="57"/>
        <v>0</v>
      </c>
      <c r="P51" s="65">
        <f t="shared" si="58"/>
        <v>3.3881671975097082E-4</v>
      </c>
      <c r="Q51" s="65">
        <f t="shared" si="59"/>
        <v>1.0436548459723419E-3</v>
      </c>
      <c r="R51" s="65">
        <f t="shared" si="60"/>
        <v>1.0900615153557486E-3</v>
      </c>
      <c r="S51" s="65">
        <f t="shared" si="61"/>
        <v>5.6748944782677682E-2</v>
      </c>
    </row>
    <row r="52" spans="5:19" x14ac:dyDescent="0.35">
      <c r="E52" s="21" t="s">
        <v>13</v>
      </c>
      <c r="F52" s="65">
        <f t="shared" si="48"/>
        <v>2.4434488619092025E-4</v>
      </c>
      <c r="G52" s="65">
        <f t="shared" si="49"/>
        <v>4.8834295204745439E-7</v>
      </c>
      <c r="H52" s="65">
        <f t="shared" si="50"/>
        <v>9.9287564346567189E-6</v>
      </c>
      <c r="I52" s="65">
        <f t="shared" si="51"/>
        <v>8.9686866335593834E-6</v>
      </c>
      <c r="J52" s="65">
        <f t="shared" si="52"/>
        <v>4.0676086374803158E-5</v>
      </c>
      <c r="K52" s="65">
        <f t="shared" si="53"/>
        <v>2.3249081975353914E-3</v>
      </c>
      <c r="L52" s="65">
        <f t="shared" si="54"/>
        <v>2.2612907907230719E-5</v>
      </c>
      <c r="M52" s="65">
        <f t="shared" si="55"/>
        <v>1.8948134679994319E-3</v>
      </c>
      <c r="N52" s="65">
        <f t="shared" si="56"/>
        <v>2.0630973005766376E-5</v>
      </c>
      <c r="O52" s="65">
        <f t="shared" si="57"/>
        <v>1.1971121553427857E-4</v>
      </c>
      <c r="P52" s="65">
        <f t="shared" si="58"/>
        <v>3.3881671975097082E-4</v>
      </c>
      <c r="Q52" s="65">
        <f t="shared" si="59"/>
        <v>0</v>
      </c>
      <c r="R52" s="65">
        <f t="shared" si="60"/>
        <v>0</v>
      </c>
      <c r="S52" s="65">
        <f t="shared" si="61"/>
        <v>7.0893583915041677E-2</v>
      </c>
    </row>
    <row r="53" spans="5:19" x14ac:dyDescent="0.35">
      <c r="E53" s="67" t="s">
        <v>14</v>
      </c>
      <c r="F53" s="65">
        <f t="shared" si="48"/>
        <v>2.7149431798991186E-5</v>
      </c>
      <c r="G53" s="65">
        <f t="shared" si="49"/>
        <v>7.8134872327592703E-6</v>
      </c>
      <c r="H53" s="65">
        <f t="shared" si="50"/>
        <v>9.9287564346567189E-6</v>
      </c>
      <c r="I53" s="65">
        <f t="shared" si="51"/>
        <v>3.587474653423745E-7</v>
      </c>
      <c r="J53" s="65">
        <f t="shared" si="52"/>
        <v>4.0676086374803158E-5</v>
      </c>
      <c r="K53" s="65">
        <f t="shared" si="53"/>
        <v>2.3249081975353914E-3</v>
      </c>
      <c r="L53" s="65">
        <f t="shared" si="54"/>
        <v>0</v>
      </c>
      <c r="M53" s="65">
        <f t="shared" si="55"/>
        <v>0</v>
      </c>
      <c r="N53" s="65">
        <f t="shared" si="56"/>
        <v>8.2523892023065543E-5</v>
      </c>
      <c r="O53" s="65">
        <f t="shared" si="57"/>
        <v>2.9927803883569622E-5</v>
      </c>
      <c r="P53" s="65">
        <f t="shared" si="58"/>
        <v>0</v>
      </c>
      <c r="Q53" s="65">
        <f t="shared" si="59"/>
        <v>4.6384659820992969E-4</v>
      </c>
      <c r="R53" s="65">
        <f t="shared" si="60"/>
        <v>2.7251537883893703E-4</v>
      </c>
      <c r="S53" s="65">
        <f t="shared" si="61"/>
        <v>5.7093330431824046E-2</v>
      </c>
    </row>
    <row r="54" spans="5:19" x14ac:dyDescent="0.35">
      <c r="E54" s="7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74"/>
    </row>
    <row r="56" spans="5:19" x14ac:dyDescent="0.35">
      <c r="L56" s="99" t="s">
        <v>118</v>
      </c>
      <c r="M56" s="99"/>
      <c r="N56" s="99"/>
      <c r="O56" s="92" t="s">
        <v>121</v>
      </c>
      <c r="P56" s="92"/>
    </row>
    <row r="57" spans="5:19" ht="14.5" customHeight="1" x14ac:dyDescent="0.35">
      <c r="L57" s="13" t="s">
        <v>117</v>
      </c>
      <c r="M57" s="13" t="s">
        <v>119</v>
      </c>
      <c r="N57" s="13" t="s">
        <v>120</v>
      </c>
      <c r="O57" s="117" t="s">
        <v>129</v>
      </c>
      <c r="P57" s="117"/>
    </row>
    <row r="58" spans="5:19" x14ac:dyDescent="0.35">
      <c r="L58" s="13" t="s">
        <v>10</v>
      </c>
      <c r="M58" s="13">
        <f>S49/(S40+S49)</f>
        <v>0.44825589658895526</v>
      </c>
      <c r="N58" s="13">
        <v>5</v>
      </c>
      <c r="O58" s="117"/>
      <c r="P58" s="117"/>
    </row>
    <row r="59" spans="5:19" x14ac:dyDescent="0.35">
      <c r="L59" s="13" t="s">
        <v>11</v>
      </c>
      <c r="M59" s="13">
        <f>S50/(S41+S50)</f>
        <v>0.51510214461415182</v>
      </c>
      <c r="N59" s="13">
        <v>3</v>
      </c>
      <c r="O59" s="117"/>
      <c r="P59" s="117"/>
    </row>
    <row r="60" spans="5:19" x14ac:dyDescent="0.35">
      <c r="L60" s="13" t="s">
        <v>12</v>
      </c>
      <c r="M60" s="13">
        <f t="shared" ref="M60:M62" si="62">S51/(S42+S51)</f>
        <v>0.48219064012985613</v>
      </c>
      <c r="N60" s="13">
        <v>2</v>
      </c>
      <c r="O60" s="117"/>
      <c r="P60" s="117"/>
    </row>
    <row r="61" spans="5:19" x14ac:dyDescent="0.35">
      <c r="L61" s="81" t="s">
        <v>13</v>
      </c>
      <c r="M61" s="81">
        <f t="shared" si="62"/>
        <v>0.52415011134527245</v>
      </c>
      <c r="N61" s="13">
        <v>1</v>
      </c>
      <c r="O61" s="117"/>
      <c r="P61" s="117"/>
    </row>
    <row r="62" spans="5:19" x14ac:dyDescent="0.35">
      <c r="L62" s="13" t="s">
        <v>14</v>
      </c>
      <c r="M62" s="13">
        <f t="shared" si="62"/>
        <v>0.4728070509926986</v>
      </c>
      <c r="N62" s="13">
        <v>4</v>
      </c>
      <c r="O62" s="117"/>
      <c r="P62" s="117"/>
    </row>
    <row r="69" ht="14.5" customHeight="1" x14ac:dyDescent="0.35"/>
  </sheetData>
  <mergeCells count="35">
    <mergeCell ref="E46:R46"/>
    <mergeCell ref="E3:R3"/>
    <mergeCell ref="O56:P56"/>
    <mergeCell ref="L56:N56"/>
    <mergeCell ref="F14:I14"/>
    <mergeCell ref="J14:L14"/>
    <mergeCell ref="M14:O14"/>
    <mergeCell ref="P14:R14"/>
    <mergeCell ref="E4:E6"/>
    <mergeCell ref="F4:I4"/>
    <mergeCell ref="J4:L4"/>
    <mergeCell ref="M4:O4"/>
    <mergeCell ref="P4:R4"/>
    <mergeCell ref="E13:R13"/>
    <mergeCell ref="F47:I47"/>
    <mergeCell ref="E37:R37"/>
    <mergeCell ref="A4:A7"/>
    <mergeCell ref="A8:A10"/>
    <mergeCell ref="A11:A13"/>
    <mergeCell ref="A14:A16"/>
    <mergeCell ref="F23:I23"/>
    <mergeCell ref="S38:S39"/>
    <mergeCell ref="E22:R22"/>
    <mergeCell ref="J23:L23"/>
    <mergeCell ref="M23:O23"/>
    <mergeCell ref="P23:R23"/>
    <mergeCell ref="F38:I38"/>
    <mergeCell ref="J38:L38"/>
    <mergeCell ref="M38:O38"/>
    <mergeCell ref="P38:R38"/>
    <mergeCell ref="J47:L47"/>
    <mergeCell ref="M47:O47"/>
    <mergeCell ref="P47:R47"/>
    <mergeCell ref="S47:S48"/>
    <mergeCell ref="O57:P62"/>
  </mergeCells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EDBA859-BD9E-43BD-814F-321F30B253C5}">
  <sheetPr>
    <tabColor rgb="FFFFFF00"/>
  </sheetPr>
  <dimension ref="A1:AG69"/>
  <sheetViews>
    <sheetView tabSelected="1" topLeftCell="R6" zoomScale="70" zoomScaleNormal="70" workbookViewId="0">
      <selection activeCell="W23" sqref="W23"/>
    </sheetView>
  </sheetViews>
  <sheetFormatPr defaultRowHeight="14.5" x14ac:dyDescent="0.35"/>
  <cols>
    <col min="1" max="1" width="13.81640625" customWidth="1"/>
    <col min="2" max="2" width="12.7265625" customWidth="1"/>
    <col min="3" max="3" width="10.36328125" customWidth="1"/>
    <col min="5" max="5" width="18.1796875" bestFit="1" customWidth="1"/>
    <col min="6" max="6" width="14.54296875" customWidth="1"/>
    <col min="7" max="7" width="20.7265625" customWidth="1"/>
    <col min="8" max="9" width="15.08984375" customWidth="1"/>
    <col min="10" max="10" width="19.6328125" bestFit="1" customWidth="1"/>
    <col min="11" max="11" width="21.54296875" bestFit="1" customWidth="1"/>
    <col min="12" max="12" width="19.6328125" bestFit="1" customWidth="1"/>
    <col min="13" max="13" width="25.08984375" bestFit="1" customWidth="1"/>
    <col min="14" max="14" width="19.6328125" bestFit="1" customWidth="1"/>
    <col min="15" max="15" width="21.08984375" bestFit="1" customWidth="1"/>
    <col min="16" max="16" width="19.6328125" bestFit="1" customWidth="1"/>
    <col min="17" max="17" width="18.453125" customWidth="1"/>
    <col min="18" max="18" width="26.26953125" bestFit="1" customWidth="1"/>
    <col min="19" max="19" width="18.81640625" customWidth="1"/>
    <col min="20" max="20" width="18.1796875" bestFit="1" customWidth="1"/>
    <col min="21" max="22" width="7.54296875" bestFit="1" customWidth="1"/>
    <col min="23" max="23" width="7.6328125" bestFit="1" customWidth="1"/>
    <col min="24" max="24" width="7.54296875" bestFit="1" customWidth="1"/>
    <col min="25" max="25" width="9.7265625" bestFit="1" customWidth="1"/>
    <col min="26" max="26" width="21.1796875" bestFit="1" customWidth="1"/>
    <col min="27" max="27" width="11.453125" bestFit="1" customWidth="1"/>
    <col min="29" max="29" width="7.54296875" bestFit="1" customWidth="1"/>
    <col min="30" max="30" width="18.26953125" bestFit="1" customWidth="1"/>
    <col min="31" max="32" width="7.54296875" bestFit="1" customWidth="1"/>
    <col min="33" max="33" width="25.90625" bestFit="1" customWidth="1"/>
  </cols>
  <sheetData>
    <row r="1" spans="1:33" x14ac:dyDescent="0.35">
      <c r="A1" t="s">
        <v>110</v>
      </c>
    </row>
    <row r="3" spans="1:33" ht="15" thickBot="1" x14ac:dyDescent="0.4">
      <c r="A3" s="6" t="s">
        <v>46</v>
      </c>
      <c r="B3" s="6" t="s">
        <v>111</v>
      </c>
      <c r="C3" s="6" t="s">
        <v>136</v>
      </c>
      <c r="E3" s="107" t="s">
        <v>116</v>
      </c>
      <c r="F3" s="107"/>
      <c r="G3" s="107"/>
      <c r="H3" s="107"/>
      <c r="I3" s="107"/>
      <c r="J3" s="107"/>
      <c r="K3" s="107"/>
      <c r="L3" s="107"/>
      <c r="M3" s="107"/>
      <c r="N3" s="107"/>
      <c r="O3" s="107"/>
      <c r="P3" s="107"/>
      <c r="Q3" s="107"/>
      <c r="R3" s="107"/>
    </row>
    <row r="4" spans="1:33" x14ac:dyDescent="0.35">
      <c r="A4" s="108" t="s">
        <v>82</v>
      </c>
      <c r="B4" s="12" t="s">
        <v>21</v>
      </c>
      <c r="C4" s="63">
        <f>'AHP edit'!M53/4</f>
        <v>0.11766992061476657</v>
      </c>
      <c r="E4" s="111" t="s">
        <v>9</v>
      </c>
      <c r="F4" s="93" t="s">
        <v>23</v>
      </c>
      <c r="G4" s="94"/>
      <c r="H4" s="94"/>
      <c r="I4" s="96"/>
      <c r="J4" s="93" t="s">
        <v>24</v>
      </c>
      <c r="K4" s="94"/>
      <c r="L4" s="95"/>
      <c r="M4" s="93" t="s">
        <v>25</v>
      </c>
      <c r="N4" s="94"/>
      <c r="O4" s="95"/>
      <c r="P4" s="93" t="s">
        <v>26</v>
      </c>
      <c r="Q4" s="94"/>
      <c r="R4" s="95"/>
    </row>
    <row r="5" spans="1:33" x14ac:dyDescent="0.35">
      <c r="A5" s="109"/>
      <c r="B5" s="12" t="s">
        <v>22</v>
      </c>
      <c r="C5" s="63">
        <f>'AHP edit'!M54/4</f>
        <v>7.008390265740988E-2</v>
      </c>
      <c r="E5" s="112"/>
      <c r="F5" s="51" t="s">
        <v>21</v>
      </c>
      <c r="G5" s="48" t="s">
        <v>22</v>
      </c>
      <c r="H5" s="48" t="s">
        <v>19</v>
      </c>
      <c r="I5" s="52" t="s">
        <v>20</v>
      </c>
      <c r="J5" s="51" t="s">
        <v>27</v>
      </c>
      <c r="K5" s="48" t="s">
        <v>32</v>
      </c>
      <c r="L5" s="53" t="s">
        <v>42</v>
      </c>
      <c r="M5" s="54" t="s">
        <v>28</v>
      </c>
      <c r="N5" s="48" t="s">
        <v>29</v>
      </c>
      <c r="O5" s="53" t="s">
        <v>43</v>
      </c>
      <c r="P5" s="51" t="s">
        <v>30</v>
      </c>
      <c r="Q5" s="48" t="s">
        <v>31</v>
      </c>
      <c r="R5" s="53" t="s">
        <v>40</v>
      </c>
    </row>
    <row r="6" spans="1:33" x14ac:dyDescent="0.35">
      <c r="A6" s="109"/>
      <c r="B6" s="12" t="s">
        <v>104</v>
      </c>
      <c r="C6" s="63">
        <f>'AHP edit'!M55/4</f>
        <v>3.6030333107416136E-2</v>
      </c>
      <c r="E6" s="112"/>
      <c r="F6" s="26" t="s">
        <v>33</v>
      </c>
      <c r="G6" s="27" t="s">
        <v>34</v>
      </c>
      <c r="H6" s="27" t="s">
        <v>35</v>
      </c>
      <c r="I6" s="32" t="s">
        <v>36</v>
      </c>
      <c r="J6" s="51" t="s">
        <v>80</v>
      </c>
      <c r="K6" s="48" t="s">
        <v>80</v>
      </c>
      <c r="L6" s="55" t="s">
        <v>80</v>
      </c>
      <c r="M6" s="56" t="s">
        <v>37</v>
      </c>
      <c r="N6" s="48" t="s">
        <v>80</v>
      </c>
      <c r="O6" s="55" t="s">
        <v>44</v>
      </c>
      <c r="P6" s="26" t="s">
        <v>80</v>
      </c>
      <c r="Q6" s="27" t="s">
        <v>39</v>
      </c>
      <c r="R6" s="55" t="s">
        <v>41</v>
      </c>
    </row>
    <row r="7" spans="1:33" x14ac:dyDescent="0.35">
      <c r="A7" s="110"/>
      <c r="B7" s="12" t="s">
        <v>20</v>
      </c>
      <c r="C7" s="63">
        <f>'AHP edit'!M56/4</f>
        <v>2.6215843620407416E-2</v>
      </c>
      <c r="E7" s="21" t="s">
        <v>10</v>
      </c>
      <c r="F7" s="39">
        <v>200</v>
      </c>
      <c r="G7" s="14">
        <v>4500000</v>
      </c>
      <c r="H7" s="13">
        <v>180</v>
      </c>
      <c r="I7" s="33">
        <v>35</v>
      </c>
      <c r="J7" s="19">
        <v>7</v>
      </c>
      <c r="K7" s="13">
        <v>3</v>
      </c>
      <c r="L7" s="15">
        <v>7</v>
      </c>
      <c r="M7" s="19">
        <v>2</v>
      </c>
      <c r="N7" s="13">
        <v>5</v>
      </c>
      <c r="O7" s="15">
        <v>8</v>
      </c>
      <c r="P7" s="19">
        <v>6</v>
      </c>
      <c r="Q7" s="13">
        <v>2</v>
      </c>
      <c r="R7" s="15">
        <v>1</v>
      </c>
    </row>
    <row r="8" spans="1:33" x14ac:dyDescent="0.35">
      <c r="A8" s="108" t="s">
        <v>83</v>
      </c>
      <c r="B8" s="12" t="s">
        <v>56</v>
      </c>
      <c r="C8" s="63">
        <f>'AHP edit'!K80/4</f>
        <v>3.6776077441214493E-2</v>
      </c>
      <c r="E8" s="21" t="s">
        <v>11</v>
      </c>
      <c r="F8" s="39">
        <v>240</v>
      </c>
      <c r="G8" s="14">
        <v>4200000</v>
      </c>
      <c r="H8" s="13">
        <v>200</v>
      </c>
      <c r="I8" s="33">
        <v>40</v>
      </c>
      <c r="J8" s="19">
        <v>3</v>
      </c>
      <c r="K8" s="13">
        <v>5</v>
      </c>
      <c r="L8" s="15">
        <v>5</v>
      </c>
      <c r="M8" s="19">
        <v>1</v>
      </c>
      <c r="N8" s="13">
        <v>3</v>
      </c>
      <c r="O8" s="15">
        <v>5</v>
      </c>
      <c r="P8" s="19">
        <v>5</v>
      </c>
      <c r="Q8" s="13">
        <v>5</v>
      </c>
      <c r="R8" s="15">
        <v>3</v>
      </c>
    </row>
    <row r="9" spans="1:33" x14ac:dyDescent="0.35">
      <c r="A9" s="109"/>
      <c r="B9" s="12" t="s">
        <v>105</v>
      </c>
      <c r="C9" s="63">
        <f>'AHP edit'!K81/4</f>
        <v>0.15104026512263549</v>
      </c>
      <c r="E9" s="21" t="s">
        <v>12</v>
      </c>
      <c r="F9" s="39">
        <v>160</v>
      </c>
      <c r="G9" s="14">
        <v>4800000</v>
      </c>
      <c r="H9" s="13">
        <v>200</v>
      </c>
      <c r="I9" s="33">
        <v>38</v>
      </c>
      <c r="J9" s="19">
        <v>5</v>
      </c>
      <c r="K9" s="13">
        <v>5</v>
      </c>
      <c r="L9" s="15">
        <v>6</v>
      </c>
      <c r="M9" s="19">
        <v>1</v>
      </c>
      <c r="N9" s="13">
        <v>7</v>
      </c>
      <c r="O9" s="15">
        <v>5</v>
      </c>
      <c r="P9" s="19">
        <v>7</v>
      </c>
      <c r="Q9" s="13">
        <v>3</v>
      </c>
      <c r="R9" s="15">
        <v>5</v>
      </c>
    </row>
    <row r="10" spans="1:33" x14ac:dyDescent="0.35">
      <c r="A10" s="110"/>
      <c r="B10" s="12" t="s">
        <v>42</v>
      </c>
      <c r="C10" s="63">
        <f>'AHP edit'!K82/4</f>
        <v>6.2183657436150029E-2</v>
      </c>
      <c r="E10" s="21" t="s">
        <v>13</v>
      </c>
      <c r="F10" s="39">
        <v>220</v>
      </c>
      <c r="G10" s="14">
        <v>4300000</v>
      </c>
      <c r="H10" s="13">
        <v>220</v>
      </c>
      <c r="I10" s="33">
        <v>45</v>
      </c>
      <c r="J10" s="19">
        <v>5</v>
      </c>
      <c r="K10" s="13">
        <v>7</v>
      </c>
      <c r="L10" s="15">
        <v>6</v>
      </c>
      <c r="M10" s="19">
        <v>2</v>
      </c>
      <c r="N10" s="13">
        <v>5</v>
      </c>
      <c r="O10" s="15">
        <v>7</v>
      </c>
      <c r="P10" s="19">
        <v>7</v>
      </c>
      <c r="Q10" s="13">
        <v>0</v>
      </c>
      <c r="R10" s="15">
        <v>1</v>
      </c>
    </row>
    <row r="11" spans="1:33" ht="15" thickBot="1" x14ac:dyDescent="0.4">
      <c r="A11" s="108" t="s">
        <v>85</v>
      </c>
      <c r="B11" s="12" t="s">
        <v>106</v>
      </c>
      <c r="C11" s="63">
        <f>'AHP edit'!K105/4</f>
        <v>0.14437087015043495</v>
      </c>
      <c r="E11" s="22" t="s">
        <v>14</v>
      </c>
      <c r="F11" s="40">
        <v>180</v>
      </c>
      <c r="G11" s="16">
        <v>4600000</v>
      </c>
      <c r="H11" s="17">
        <v>220</v>
      </c>
      <c r="I11" s="34">
        <v>37</v>
      </c>
      <c r="J11" s="20">
        <v>5</v>
      </c>
      <c r="K11" s="17">
        <v>7</v>
      </c>
      <c r="L11" s="18">
        <v>5</v>
      </c>
      <c r="M11" s="20">
        <v>1</v>
      </c>
      <c r="N11" s="17">
        <v>7</v>
      </c>
      <c r="O11" s="18">
        <v>6</v>
      </c>
      <c r="P11" s="20">
        <v>5</v>
      </c>
      <c r="Q11" s="17">
        <v>2</v>
      </c>
      <c r="R11" s="18">
        <v>3</v>
      </c>
    </row>
    <row r="12" spans="1:33" x14ac:dyDescent="0.35">
      <c r="A12" s="109"/>
      <c r="B12" s="12" t="s">
        <v>29</v>
      </c>
      <c r="C12" s="63">
        <f>'AHP edit'!K106/4</f>
        <v>2.8456382245048834E-2</v>
      </c>
      <c r="G12" s="72"/>
    </row>
    <row r="13" spans="1:33" ht="15" thickBot="1" x14ac:dyDescent="0.4">
      <c r="A13" s="110"/>
      <c r="B13" s="12" t="s">
        <v>107</v>
      </c>
      <c r="C13" s="63">
        <f>'AHP edit'!K107/4</f>
        <v>7.7172747604516201E-2</v>
      </c>
      <c r="E13" s="107" t="s">
        <v>123</v>
      </c>
      <c r="F13" s="107"/>
      <c r="G13" s="107"/>
      <c r="H13" s="107"/>
      <c r="I13" s="107"/>
      <c r="J13" s="107"/>
      <c r="K13" s="107"/>
      <c r="L13" s="107"/>
      <c r="M13" s="107"/>
      <c r="N13" s="107"/>
      <c r="O13" s="107"/>
      <c r="P13" s="107"/>
      <c r="Q13" s="107"/>
      <c r="R13" s="107"/>
    </row>
    <row r="14" spans="1:33" ht="14.5" customHeight="1" x14ac:dyDescent="0.35">
      <c r="A14" s="108" t="s">
        <v>84</v>
      </c>
      <c r="B14" s="12" t="s">
        <v>30</v>
      </c>
      <c r="C14" s="63">
        <f>'AHP edit'!K130/4</f>
        <v>0.1248421768015307</v>
      </c>
      <c r="E14" s="49" t="s">
        <v>9</v>
      </c>
      <c r="F14" s="93" t="s">
        <v>23</v>
      </c>
      <c r="G14" s="94"/>
      <c r="H14" s="94"/>
      <c r="I14" s="96"/>
      <c r="J14" s="93" t="s">
        <v>24</v>
      </c>
      <c r="K14" s="94"/>
      <c r="L14" s="95"/>
      <c r="M14" s="93" t="s">
        <v>25</v>
      </c>
      <c r="N14" s="94"/>
      <c r="O14" s="95"/>
      <c r="P14" s="93" t="s">
        <v>26</v>
      </c>
      <c r="Q14" s="94"/>
      <c r="R14" s="95"/>
      <c r="T14" s="118"/>
      <c r="U14" s="77"/>
      <c r="V14" s="77"/>
      <c r="W14" s="77"/>
      <c r="X14" s="77"/>
      <c r="Y14" s="77"/>
      <c r="Z14" s="77"/>
      <c r="AA14" s="77"/>
      <c r="AB14" s="77"/>
      <c r="AC14" s="77"/>
      <c r="AD14" s="77"/>
      <c r="AE14" s="77"/>
      <c r="AF14" s="77"/>
      <c r="AG14" s="77"/>
    </row>
    <row r="15" spans="1:33" ht="15" thickBot="1" x14ac:dyDescent="0.4">
      <c r="A15" s="109"/>
      <c r="B15" s="12" t="s">
        <v>108</v>
      </c>
      <c r="C15" s="63">
        <f>'AHP edit'!K131/4</f>
        <v>6.9788174365033095E-2</v>
      </c>
      <c r="E15" s="50"/>
      <c r="F15" s="51" t="s">
        <v>21</v>
      </c>
      <c r="G15" s="48" t="s">
        <v>22</v>
      </c>
      <c r="H15" s="48" t="s">
        <v>19</v>
      </c>
      <c r="I15" s="52" t="s">
        <v>20</v>
      </c>
      <c r="J15" s="51" t="s">
        <v>27</v>
      </c>
      <c r="K15" s="48" t="s">
        <v>32</v>
      </c>
      <c r="L15" s="53" t="s">
        <v>42</v>
      </c>
      <c r="M15" s="54" t="s">
        <v>28</v>
      </c>
      <c r="N15" s="48" t="s">
        <v>29</v>
      </c>
      <c r="O15" s="53" t="s">
        <v>43</v>
      </c>
      <c r="P15" s="51" t="s">
        <v>30</v>
      </c>
      <c r="Q15" s="48" t="s">
        <v>31</v>
      </c>
      <c r="R15" s="53" t="s">
        <v>40</v>
      </c>
      <c r="T15" s="107" t="s">
        <v>137</v>
      </c>
      <c r="U15" s="107"/>
      <c r="V15" s="107"/>
      <c r="W15" s="107"/>
      <c r="X15" s="107"/>
      <c r="Y15" s="107"/>
      <c r="Z15" s="107"/>
      <c r="AA15" s="107"/>
      <c r="AB15" s="107"/>
      <c r="AC15" s="107"/>
      <c r="AD15" s="107"/>
      <c r="AE15" s="107"/>
      <c r="AF15" s="107"/>
      <c r="AG15" s="107"/>
    </row>
    <row r="16" spans="1:33" ht="14.5" customHeight="1" x14ac:dyDescent="0.35">
      <c r="A16" s="110"/>
      <c r="B16" s="12" t="s">
        <v>109</v>
      </c>
      <c r="C16" s="63">
        <f>'AHP edit'!K132/4</f>
        <v>5.5369648833436196E-2</v>
      </c>
      <c r="E16" s="21" t="s">
        <v>10</v>
      </c>
      <c r="F16" s="39">
        <f>F7^2</f>
        <v>40000</v>
      </c>
      <c r="G16" s="39">
        <f t="shared" ref="G16:R16" si="0">G7^2</f>
        <v>20250000000000</v>
      </c>
      <c r="H16" s="39">
        <f t="shared" si="0"/>
        <v>32400</v>
      </c>
      <c r="I16" s="39">
        <f t="shared" si="0"/>
        <v>1225</v>
      </c>
      <c r="J16" s="39">
        <f t="shared" si="0"/>
        <v>49</v>
      </c>
      <c r="K16" s="39">
        <f t="shared" si="0"/>
        <v>9</v>
      </c>
      <c r="L16" s="39">
        <f t="shared" si="0"/>
        <v>49</v>
      </c>
      <c r="M16" s="39">
        <f t="shared" si="0"/>
        <v>4</v>
      </c>
      <c r="N16" s="39">
        <f t="shared" si="0"/>
        <v>25</v>
      </c>
      <c r="O16" s="39">
        <f t="shared" si="0"/>
        <v>64</v>
      </c>
      <c r="P16" s="39">
        <f t="shared" si="0"/>
        <v>36</v>
      </c>
      <c r="Q16" s="39">
        <f t="shared" si="0"/>
        <v>4</v>
      </c>
      <c r="R16" s="39">
        <f t="shared" si="0"/>
        <v>1</v>
      </c>
      <c r="T16" s="49" t="s">
        <v>9</v>
      </c>
      <c r="U16" s="93" t="s">
        <v>23</v>
      </c>
      <c r="V16" s="94"/>
      <c r="W16" s="94"/>
      <c r="X16" s="96"/>
      <c r="Y16" s="93" t="s">
        <v>24</v>
      </c>
      <c r="Z16" s="94"/>
      <c r="AA16" s="95"/>
      <c r="AB16" s="93" t="s">
        <v>25</v>
      </c>
      <c r="AC16" s="94"/>
      <c r="AD16" s="95"/>
      <c r="AE16" s="93" t="s">
        <v>26</v>
      </c>
      <c r="AF16" s="94"/>
      <c r="AG16" s="95"/>
    </row>
    <row r="17" spans="2:33" x14ac:dyDescent="0.35">
      <c r="B17" s="88" t="s">
        <v>88</v>
      </c>
      <c r="C17" s="2">
        <f>SUM(C4:C16)</f>
        <v>0.99999999999999989</v>
      </c>
      <c r="E17" s="21" t="s">
        <v>11</v>
      </c>
      <c r="F17" s="39">
        <f t="shared" ref="F17:R20" si="1">F8^2</f>
        <v>57600</v>
      </c>
      <c r="G17" s="39">
        <f t="shared" si="1"/>
        <v>17640000000000</v>
      </c>
      <c r="H17" s="39">
        <f t="shared" si="1"/>
        <v>40000</v>
      </c>
      <c r="I17" s="39">
        <f t="shared" si="1"/>
        <v>1600</v>
      </c>
      <c r="J17" s="39">
        <f t="shared" si="1"/>
        <v>9</v>
      </c>
      <c r="K17" s="39">
        <f t="shared" si="1"/>
        <v>25</v>
      </c>
      <c r="L17" s="39">
        <f t="shared" si="1"/>
        <v>25</v>
      </c>
      <c r="M17" s="39">
        <f t="shared" si="1"/>
        <v>1</v>
      </c>
      <c r="N17" s="39">
        <f t="shared" si="1"/>
        <v>9</v>
      </c>
      <c r="O17" s="39">
        <f t="shared" si="1"/>
        <v>25</v>
      </c>
      <c r="P17" s="39">
        <f t="shared" si="1"/>
        <v>25</v>
      </c>
      <c r="Q17" s="39">
        <f t="shared" si="1"/>
        <v>25</v>
      </c>
      <c r="R17" s="39">
        <f t="shared" si="1"/>
        <v>9</v>
      </c>
      <c r="T17" s="50"/>
      <c r="U17" s="51" t="s">
        <v>21</v>
      </c>
      <c r="V17" s="48" t="s">
        <v>22</v>
      </c>
      <c r="W17" s="48" t="s">
        <v>19</v>
      </c>
      <c r="X17" s="52" t="s">
        <v>20</v>
      </c>
      <c r="Y17" s="51" t="s">
        <v>27</v>
      </c>
      <c r="Z17" s="48" t="s">
        <v>32</v>
      </c>
      <c r="AA17" s="53" t="s">
        <v>42</v>
      </c>
      <c r="AB17" s="54" t="s">
        <v>28</v>
      </c>
      <c r="AC17" s="48" t="s">
        <v>29</v>
      </c>
      <c r="AD17" s="53" t="s">
        <v>43</v>
      </c>
      <c r="AE17" s="51" t="s">
        <v>30</v>
      </c>
      <c r="AF17" s="48" t="s">
        <v>31</v>
      </c>
      <c r="AG17" s="53" t="s">
        <v>40</v>
      </c>
    </row>
    <row r="18" spans="2:33" x14ac:dyDescent="0.35">
      <c r="E18" s="21" t="s">
        <v>12</v>
      </c>
      <c r="F18" s="39">
        <f t="shared" si="1"/>
        <v>25600</v>
      </c>
      <c r="G18" s="39">
        <f t="shared" si="1"/>
        <v>23040000000000</v>
      </c>
      <c r="H18" s="39">
        <f t="shared" si="1"/>
        <v>40000</v>
      </c>
      <c r="I18" s="39">
        <f t="shared" si="1"/>
        <v>1444</v>
      </c>
      <c r="J18" s="39">
        <f t="shared" si="1"/>
        <v>25</v>
      </c>
      <c r="K18" s="39">
        <f t="shared" si="1"/>
        <v>25</v>
      </c>
      <c r="L18" s="39">
        <f t="shared" si="1"/>
        <v>36</v>
      </c>
      <c r="M18" s="39">
        <f t="shared" si="1"/>
        <v>1</v>
      </c>
      <c r="N18" s="39">
        <f t="shared" si="1"/>
        <v>49</v>
      </c>
      <c r="O18" s="39">
        <f t="shared" si="1"/>
        <v>25</v>
      </c>
      <c r="P18" s="39">
        <f t="shared" si="1"/>
        <v>49</v>
      </c>
      <c r="Q18" s="39">
        <f t="shared" si="1"/>
        <v>9</v>
      </c>
      <c r="R18" s="39">
        <f t="shared" si="1"/>
        <v>25</v>
      </c>
      <c r="T18" s="21" t="s">
        <v>10</v>
      </c>
      <c r="U18" s="86">
        <f>(F7/SQRT(SUM($F$16:$F$20)))</f>
        <v>0.44280744277004763</v>
      </c>
      <c r="V18" s="86">
        <f>(G7/SQRT(SUM($G$16:$G$20)))</f>
        <v>0.44870064945089794</v>
      </c>
      <c r="W18" s="86">
        <f>(H7/SQRT(SUM($H$16:$H$20)))</f>
        <v>0.39354252250196348</v>
      </c>
      <c r="X18" s="86">
        <f>(I7/SQRT(SUM($I$16:$I$20)))</f>
        <v>0.39982378997521506</v>
      </c>
      <c r="Y18" s="86">
        <f>(J7/SQRT(SUM($J$16:$J$20)))</f>
        <v>0.60697697866688394</v>
      </c>
      <c r="Z18" s="86">
        <f>(K7/SQRT(SUM($K$16:$K$20)))</f>
        <v>0.23942606534028665</v>
      </c>
      <c r="AA18" s="86">
        <f>(L7/SQRT(SUM($L$16:$L$20)))</f>
        <v>0.53530337903131076</v>
      </c>
      <c r="AB18" s="86">
        <f>(M7/SQRT(SUM($M$16:$M$20)))</f>
        <v>0.60302268915552726</v>
      </c>
      <c r="AC18" s="86">
        <f>(N7/SQRT(SUM($N$16:$N$20)))</f>
        <v>0.39904344223381105</v>
      </c>
      <c r="AD18" s="86">
        <f>(O7/SQRT(SUM($O$16:$O$20)))</f>
        <v>0.56710496400666865</v>
      </c>
      <c r="AE18" s="86">
        <f>(P7/SQRT(SUM($P$16:$P$20)))</f>
        <v>0.44232586846469141</v>
      </c>
      <c r="AF18" s="86">
        <f>(Q7/SQRT(SUM($Q$16:$Q$20)))</f>
        <v>0.30860669992418382</v>
      </c>
      <c r="AG18" s="86">
        <f>(R7/SQRT(SUM($R$16:$R$20)))</f>
        <v>0.14907119849998599</v>
      </c>
    </row>
    <row r="19" spans="2:33" x14ac:dyDescent="0.35">
      <c r="E19" s="21" t="s">
        <v>13</v>
      </c>
      <c r="F19" s="39">
        <f t="shared" si="1"/>
        <v>48400</v>
      </c>
      <c r="G19" s="39">
        <f t="shared" si="1"/>
        <v>18490000000000</v>
      </c>
      <c r="H19" s="39">
        <f t="shared" si="1"/>
        <v>48400</v>
      </c>
      <c r="I19" s="39">
        <f t="shared" si="1"/>
        <v>2025</v>
      </c>
      <c r="J19" s="39">
        <f t="shared" si="1"/>
        <v>25</v>
      </c>
      <c r="K19" s="39">
        <f t="shared" si="1"/>
        <v>49</v>
      </c>
      <c r="L19" s="39">
        <f t="shared" si="1"/>
        <v>36</v>
      </c>
      <c r="M19" s="39">
        <f t="shared" si="1"/>
        <v>4</v>
      </c>
      <c r="N19" s="39">
        <f t="shared" si="1"/>
        <v>25</v>
      </c>
      <c r="O19" s="39">
        <f t="shared" si="1"/>
        <v>49</v>
      </c>
      <c r="P19" s="39">
        <f t="shared" si="1"/>
        <v>49</v>
      </c>
      <c r="Q19" s="64">
        <f>Q10^2</f>
        <v>0</v>
      </c>
      <c r="R19" s="39">
        <f t="shared" si="1"/>
        <v>1</v>
      </c>
      <c r="T19" s="21" t="s">
        <v>11</v>
      </c>
      <c r="U19" s="86">
        <f t="shared" ref="U19:U22" si="2">(F8/SQRT(SUM($F$16:$F$20)))</f>
        <v>0.53136893132405716</v>
      </c>
      <c r="V19" s="86">
        <f t="shared" ref="V19:V22" si="3">(G8/SQRT(SUM($G$16:$G$20)))</f>
        <v>0.41878727282083805</v>
      </c>
      <c r="W19" s="86">
        <f t="shared" ref="W19:W22" si="4">(H8/SQRT(SUM($H$16:$H$20)))</f>
        <v>0.43726946944662609</v>
      </c>
      <c r="X19" s="86">
        <f t="shared" ref="X19:X22" si="5">(I8/SQRT(SUM($I$16:$I$20)))</f>
        <v>0.45694147425738862</v>
      </c>
      <c r="Y19" s="86">
        <f t="shared" ref="Y19:Y22" si="6">(J8/SQRT(SUM($J$16:$J$20)))</f>
        <v>0.26013299085723596</v>
      </c>
      <c r="Z19" s="86">
        <f t="shared" ref="Z19:Z22" si="7">(K8/SQRT(SUM($K$16:$K$20)))</f>
        <v>0.39904344223381105</v>
      </c>
      <c r="AA19" s="86">
        <f t="shared" ref="AA19:AA22" si="8">(L8/SQRT(SUM($L$16:$L$20)))</f>
        <v>0.38235955645093628</v>
      </c>
      <c r="AB19" s="86">
        <f t="shared" ref="AB19:AB22" si="9">(M8/SQRT(SUM($M$16:$M$20)))</f>
        <v>0.30151134457776363</v>
      </c>
      <c r="AC19" s="86">
        <f t="shared" ref="AC19:AC22" si="10">(N8/SQRT(SUM($N$16:$N$20)))</f>
        <v>0.23942606534028665</v>
      </c>
      <c r="AD19" s="86">
        <f t="shared" ref="AD19:AD22" si="11">(O8/SQRT(SUM($O$16:$O$20)))</f>
        <v>0.35444060250416792</v>
      </c>
      <c r="AE19" s="86">
        <f t="shared" ref="AE19:AE22" si="12">(P8/SQRT(SUM($P$16:$P$20)))</f>
        <v>0.36860489038724281</v>
      </c>
      <c r="AF19" s="86">
        <f t="shared" ref="AF19:AF22" si="13">(Q8/SQRT(SUM($Q$16:$Q$20)))</f>
        <v>0.77151674981045948</v>
      </c>
      <c r="AG19" s="86">
        <f t="shared" ref="AG19:AG22" si="14">(R8/SQRT(SUM($R$16:$R$20)))</f>
        <v>0.44721359549995793</v>
      </c>
    </row>
    <row r="20" spans="2:33" ht="15" thickBot="1" x14ac:dyDescent="0.4">
      <c r="E20" s="22" t="s">
        <v>14</v>
      </c>
      <c r="F20" s="39">
        <f t="shared" si="1"/>
        <v>32400</v>
      </c>
      <c r="G20" s="39">
        <f t="shared" si="1"/>
        <v>21160000000000</v>
      </c>
      <c r="H20" s="39">
        <f t="shared" si="1"/>
        <v>48400</v>
      </c>
      <c r="I20" s="39">
        <f t="shared" si="1"/>
        <v>1369</v>
      </c>
      <c r="J20" s="39">
        <f t="shared" si="1"/>
        <v>25</v>
      </c>
      <c r="K20" s="39">
        <f t="shared" si="1"/>
        <v>49</v>
      </c>
      <c r="L20" s="39">
        <f t="shared" si="1"/>
        <v>25</v>
      </c>
      <c r="M20" s="39">
        <f t="shared" si="1"/>
        <v>1</v>
      </c>
      <c r="N20" s="39">
        <f t="shared" si="1"/>
        <v>49</v>
      </c>
      <c r="O20" s="39">
        <f t="shared" si="1"/>
        <v>36</v>
      </c>
      <c r="P20" s="39">
        <f t="shared" si="1"/>
        <v>25</v>
      </c>
      <c r="Q20" s="39">
        <f t="shared" si="1"/>
        <v>4</v>
      </c>
      <c r="R20" s="39">
        <f t="shared" si="1"/>
        <v>9</v>
      </c>
      <c r="T20" s="21" t="s">
        <v>12</v>
      </c>
      <c r="U20" s="86">
        <f t="shared" si="2"/>
        <v>0.35424595421603811</v>
      </c>
      <c r="V20" s="86">
        <f t="shared" si="3"/>
        <v>0.47861402608095777</v>
      </c>
      <c r="W20" s="86">
        <f t="shared" si="4"/>
        <v>0.43726946944662609</v>
      </c>
      <c r="X20" s="86">
        <f t="shared" si="5"/>
        <v>0.4340944005445192</v>
      </c>
      <c r="Y20" s="86">
        <f t="shared" si="6"/>
        <v>0.43355498476205995</v>
      </c>
      <c r="Z20" s="86">
        <f t="shared" si="7"/>
        <v>0.39904344223381105</v>
      </c>
      <c r="AA20" s="86">
        <f t="shared" si="8"/>
        <v>0.45883146774112354</v>
      </c>
      <c r="AB20" s="86">
        <f t="shared" si="9"/>
        <v>0.30151134457776363</v>
      </c>
      <c r="AC20" s="86">
        <f t="shared" si="10"/>
        <v>0.55866081912733556</v>
      </c>
      <c r="AD20" s="86">
        <f t="shared" si="11"/>
        <v>0.35444060250416792</v>
      </c>
      <c r="AE20" s="86">
        <f t="shared" si="12"/>
        <v>0.51604684654213995</v>
      </c>
      <c r="AF20" s="86">
        <f t="shared" si="13"/>
        <v>0.46291004988627571</v>
      </c>
      <c r="AG20" s="86">
        <f t="shared" si="14"/>
        <v>0.7453559924999299</v>
      </c>
    </row>
    <row r="21" spans="2:33" ht="15" thickBot="1" x14ac:dyDescent="0.4">
      <c r="E21" s="71"/>
      <c r="F21" s="77"/>
      <c r="G21" s="77"/>
      <c r="H21" s="77"/>
      <c r="I21" s="77"/>
      <c r="J21" s="77"/>
      <c r="K21" s="77"/>
      <c r="L21" s="77"/>
      <c r="M21" s="77"/>
      <c r="N21" s="77"/>
      <c r="O21" s="77"/>
      <c r="P21" s="77"/>
      <c r="Q21" s="77"/>
      <c r="R21" s="77"/>
      <c r="T21" s="21" t="s">
        <v>13</v>
      </c>
      <c r="U21" s="86">
        <f t="shared" si="2"/>
        <v>0.48708818704705242</v>
      </c>
      <c r="V21" s="86">
        <f t="shared" si="3"/>
        <v>0.42875839836419133</v>
      </c>
      <c r="W21" s="86">
        <f t="shared" si="4"/>
        <v>0.48099641639128871</v>
      </c>
      <c r="X21" s="86">
        <f t="shared" si="5"/>
        <v>0.51405915853956219</v>
      </c>
      <c r="Y21" s="86">
        <f t="shared" si="6"/>
        <v>0.43355498476205995</v>
      </c>
      <c r="Z21" s="86">
        <f t="shared" si="7"/>
        <v>0.55866081912733556</v>
      </c>
      <c r="AA21" s="86">
        <f t="shared" si="8"/>
        <v>0.45883146774112354</v>
      </c>
      <c r="AB21" s="86">
        <f t="shared" si="9"/>
        <v>0.60302268915552726</v>
      </c>
      <c r="AC21" s="86">
        <f t="shared" si="10"/>
        <v>0.39904344223381105</v>
      </c>
      <c r="AD21" s="86">
        <f t="shared" si="11"/>
        <v>0.49621684350583511</v>
      </c>
      <c r="AE21" s="86">
        <f t="shared" si="12"/>
        <v>0.51604684654213995</v>
      </c>
      <c r="AF21" s="86">
        <f>(Q10/SQRT(SUM($Q$16:$Q$20)))</f>
        <v>0</v>
      </c>
      <c r="AG21" s="86">
        <f t="shared" si="14"/>
        <v>0.14907119849998599</v>
      </c>
    </row>
    <row r="22" spans="2:33" ht="15" thickBot="1" x14ac:dyDescent="0.4">
      <c r="E22" s="107" t="s">
        <v>128</v>
      </c>
      <c r="F22" s="107"/>
      <c r="G22" s="107"/>
      <c r="H22" s="107"/>
      <c r="I22" s="107"/>
      <c r="J22" s="107"/>
      <c r="K22" s="107"/>
      <c r="L22" s="107"/>
      <c r="M22" s="107"/>
      <c r="N22" s="107"/>
      <c r="O22" s="107"/>
      <c r="P22" s="107"/>
      <c r="Q22" s="107"/>
      <c r="R22" s="107"/>
      <c r="T22" s="22" t="s">
        <v>14</v>
      </c>
      <c r="U22" s="86">
        <f t="shared" si="2"/>
        <v>0.3985266984930429</v>
      </c>
      <c r="V22" s="86">
        <f t="shared" si="3"/>
        <v>0.45867177499425121</v>
      </c>
      <c r="W22" s="86">
        <f t="shared" si="4"/>
        <v>0.48099641639128871</v>
      </c>
      <c r="X22" s="86">
        <f t="shared" si="5"/>
        <v>0.42267086368808449</v>
      </c>
      <c r="Y22" s="86">
        <f t="shared" si="6"/>
        <v>0.43355498476205995</v>
      </c>
      <c r="Z22" s="86">
        <f t="shared" si="7"/>
        <v>0.55866081912733556</v>
      </c>
      <c r="AA22" s="86">
        <f t="shared" si="8"/>
        <v>0.38235955645093628</v>
      </c>
      <c r="AB22" s="86">
        <f t="shared" si="9"/>
        <v>0.30151134457776363</v>
      </c>
      <c r="AC22" s="86">
        <f t="shared" si="10"/>
        <v>0.55866081912733556</v>
      </c>
      <c r="AD22" s="86">
        <f t="shared" si="11"/>
        <v>0.42532872300500152</v>
      </c>
      <c r="AE22" s="86">
        <f t="shared" si="12"/>
        <v>0.36860489038724281</v>
      </c>
      <c r="AF22" s="86">
        <f t="shared" si="13"/>
        <v>0.30860669992418382</v>
      </c>
      <c r="AG22" s="86">
        <f t="shared" si="14"/>
        <v>0.44721359549995793</v>
      </c>
    </row>
    <row r="23" spans="2:33" x14ac:dyDescent="0.35">
      <c r="E23" s="49" t="s">
        <v>9</v>
      </c>
      <c r="F23" s="93" t="s">
        <v>23</v>
      </c>
      <c r="G23" s="94"/>
      <c r="H23" s="94"/>
      <c r="I23" s="96"/>
      <c r="J23" s="93" t="s">
        <v>24</v>
      </c>
      <c r="K23" s="94"/>
      <c r="L23" s="95"/>
      <c r="M23" s="93" t="s">
        <v>25</v>
      </c>
      <c r="N23" s="94"/>
      <c r="O23" s="95"/>
      <c r="P23" s="93" t="s">
        <v>26</v>
      </c>
      <c r="Q23" s="94"/>
      <c r="R23" s="95"/>
    </row>
    <row r="24" spans="2:33" x14ac:dyDescent="0.35">
      <c r="E24" s="50"/>
      <c r="F24" s="51" t="s">
        <v>21</v>
      </c>
      <c r="G24" s="48" t="s">
        <v>22</v>
      </c>
      <c r="H24" s="48" t="s">
        <v>19</v>
      </c>
      <c r="I24" s="52" t="s">
        <v>20</v>
      </c>
      <c r="J24" s="51" t="s">
        <v>27</v>
      </c>
      <c r="K24" s="48" t="s">
        <v>32</v>
      </c>
      <c r="L24" s="53" t="s">
        <v>42</v>
      </c>
      <c r="M24" s="54" t="s">
        <v>28</v>
      </c>
      <c r="N24" s="48" t="s">
        <v>29</v>
      </c>
      <c r="O24" s="53" t="s">
        <v>43</v>
      </c>
      <c r="P24" s="51" t="s">
        <v>30</v>
      </c>
      <c r="Q24" s="48" t="s">
        <v>31</v>
      </c>
      <c r="R24" s="53" t="s">
        <v>40</v>
      </c>
    </row>
    <row r="25" spans="2:33" x14ac:dyDescent="0.35">
      <c r="E25" s="21" t="s">
        <v>10</v>
      </c>
      <c r="F25" s="86">
        <f>(F7/SQRT(SUM($F$16:$F$20)))*$C$4</f>
        <v>5.2105116638379294E-2</v>
      </c>
      <c r="G25" s="86">
        <f>(G7/SQRT(SUM($G$16:$G$20)))*$C$5</f>
        <v>3.1446692638433325E-2</v>
      </c>
      <c r="H25" s="86">
        <f>H7/SQRT(SUM($H$16:$H$20))*$C$6</f>
        <v>1.4179468177678555E-2</v>
      </c>
      <c r="I25" s="86">
        <f>I7/SQRT(SUM($I$16:$I$20))*$C$7</f>
        <v>1.0481717953708856E-2</v>
      </c>
      <c r="J25" s="86">
        <f>J7/SQRT(SUM($J$16:$J$20))*$C$8</f>
        <v>2.2322232372487722E-2</v>
      </c>
      <c r="K25" s="86">
        <f>K7/SQRT(SUM($K$16:$K$20))*$C$9</f>
        <v>3.6162976386266345E-2</v>
      </c>
      <c r="L25" s="86">
        <f>L7/SQRT(SUM($L$16:$L$20))*$C$10</f>
        <v>3.3287121946096607E-2</v>
      </c>
      <c r="M25" s="86">
        <f>M7/SQRT(SUM($M$16:$M$20))*$C$11</f>
        <v>8.7058910353838725E-2</v>
      </c>
      <c r="N25" s="86">
        <f>N7/SQRT(SUM($N$16:$N$20))*$C$12</f>
        <v>1.1355332724585391E-2</v>
      </c>
      <c r="O25" s="86">
        <f>O7/SQRT(SUM($O$16:$O$20))*$C$13</f>
        <v>4.3765048252554888E-2</v>
      </c>
      <c r="P25" s="86">
        <f>P7/SQRT(SUM($P$16:$P$20))*$C$14</f>
        <v>5.5220924274759615E-2</v>
      </c>
      <c r="Q25" s="86">
        <f>Q7/SQRT(SUM($Q$16:$Q$20))*$C$15</f>
        <v>2.1537098184526385E-2</v>
      </c>
      <c r="R25" s="86">
        <f>R7/SQRT(SUM($R$16:$R$20))*$C$16</f>
        <v>8.2540199121236852E-3</v>
      </c>
    </row>
    <row r="26" spans="2:33" x14ac:dyDescent="0.35">
      <c r="E26" s="21" t="s">
        <v>11</v>
      </c>
      <c r="F26" s="86">
        <f>(F8/SQRT(SUM($F$16:$F$20)))*$C$4</f>
        <v>6.2526139966055161E-2</v>
      </c>
      <c r="G26" s="86">
        <f t="shared" ref="G26:G29" si="15">(G8/SQRT(SUM($G$16:$G$20)))*$C$5</f>
        <v>2.9350246462537768E-2</v>
      </c>
      <c r="H26" s="86">
        <f t="shared" ref="H26:H29" si="16">H8/SQRT(SUM($H$16:$H$20))*$C$6</f>
        <v>1.5754964641865061E-2</v>
      </c>
      <c r="I26" s="86">
        <f t="shared" ref="I26:I29" si="17">I8/SQRT(SUM($I$16:$I$20))*$C$7</f>
        <v>1.1979106232810122E-2</v>
      </c>
      <c r="J26" s="86">
        <f t="shared" ref="J26:J29" si="18">J8/SQRT(SUM($J$16:$J$20))*$C$8</f>
        <v>9.5666710167804508E-3</v>
      </c>
      <c r="K26" s="86">
        <f t="shared" ref="K26:K29" si="19">K8/SQRT(SUM($K$16:$K$20))*$C$9</f>
        <v>6.0271627310443901E-2</v>
      </c>
      <c r="L26" s="86">
        <f t="shared" ref="L26:L29" si="20">L8/SQRT(SUM($L$16:$L$20))*$C$10</f>
        <v>2.3776515675783292E-2</v>
      </c>
      <c r="M26" s="86">
        <f t="shared" ref="M26:M29" si="21">M8/SQRT(SUM($M$16:$M$20))*$C$11</f>
        <v>4.3529455176919363E-2</v>
      </c>
      <c r="N26" s="86">
        <f t="shared" ref="N26:N29" si="22">N8/SQRT(SUM($N$16:$N$20))*$C$12</f>
        <v>6.8131996347512349E-3</v>
      </c>
      <c r="O26" s="86">
        <f t="shared" ref="O26:O29" si="23">O8/SQRT(SUM($O$16:$O$20))*$C$13</f>
        <v>2.7353155157846806E-2</v>
      </c>
      <c r="P26" s="86">
        <f t="shared" ref="P26:P29" si="24">P8/SQRT(SUM($P$16:$P$20))*$C$14</f>
        <v>4.6017436895633014E-2</v>
      </c>
      <c r="Q26" s="86">
        <f t="shared" ref="Q26:Q29" si="25">Q8/SQRT(SUM($Q$16:$Q$20))*$C$15</f>
        <v>5.3842745461315962E-2</v>
      </c>
      <c r="R26" s="86">
        <f t="shared" ref="R26:R28" si="26">R8/SQRT(SUM($R$16:$R$20))*$C$16</f>
        <v>2.476205973637105E-2</v>
      </c>
    </row>
    <row r="27" spans="2:33" x14ac:dyDescent="0.35">
      <c r="E27" s="21" t="s">
        <v>12</v>
      </c>
      <c r="F27" s="86">
        <f t="shared" ref="F27:F29" si="27">(F9/SQRT(SUM($F$16:$F$20)))*$C$4</f>
        <v>4.1684093310703434E-2</v>
      </c>
      <c r="G27" s="86">
        <f t="shared" si="15"/>
        <v>3.3543138814328875E-2</v>
      </c>
      <c r="H27" s="86">
        <f t="shared" si="16"/>
        <v>1.5754964641865061E-2</v>
      </c>
      <c r="I27" s="86">
        <f t="shared" si="17"/>
        <v>1.1380150921169615E-2</v>
      </c>
      <c r="J27" s="86">
        <f t="shared" si="18"/>
        <v>1.5944451694634085E-2</v>
      </c>
      <c r="K27" s="86">
        <f t="shared" si="19"/>
        <v>6.0271627310443901E-2</v>
      </c>
      <c r="L27" s="86">
        <f t="shared" si="20"/>
        <v>2.8531818810939948E-2</v>
      </c>
      <c r="M27" s="86">
        <f t="shared" si="21"/>
        <v>4.3529455176919363E-2</v>
      </c>
      <c r="N27" s="86">
        <f t="shared" si="22"/>
        <v>1.5897465814419549E-2</v>
      </c>
      <c r="O27" s="86">
        <f t="shared" si="23"/>
        <v>2.7353155157846806E-2</v>
      </c>
      <c r="P27" s="86">
        <f t="shared" si="24"/>
        <v>6.4424411653886224E-2</v>
      </c>
      <c r="Q27" s="86">
        <f t="shared" si="25"/>
        <v>3.2305647276789577E-2</v>
      </c>
      <c r="R27" s="86">
        <f t="shared" si="26"/>
        <v>4.1270099560618424E-2</v>
      </c>
    </row>
    <row r="28" spans="2:33" x14ac:dyDescent="0.35">
      <c r="E28" s="21" t="s">
        <v>13</v>
      </c>
      <c r="F28" s="86">
        <f t="shared" si="27"/>
        <v>5.7315628302217231E-2</v>
      </c>
      <c r="G28" s="86">
        <f t="shared" si="15"/>
        <v>3.0049061854502953E-2</v>
      </c>
      <c r="H28" s="86">
        <f t="shared" si="16"/>
        <v>1.7330461106051565E-2</v>
      </c>
      <c r="I28" s="86">
        <f t="shared" si="17"/>
        <v>1.3476494511911385E-2</v>
      </c>
      <c r="J28" s="86">
        <f t="shared" si="18"/>
        <v>1.5944451694634085E-2</v>
      </c>
      <c r="K28" s="86">
        <f t="shared" si="19"/>
        <v>8.4380278234621478E-2</v>
      </c>
      <c r="L28" s="86">
        <f t="shared" si="20"/>
        <v>2.8531818810939948E-2</v>
      </c>
      <c r="M28" s="86">
        <f t="shared" si="21"/>
        <v>8.7058910353838725E-2</v>
      </c>
      <c r="N28" s="86">
        <f t="shared" si="22"/>
        <v>1.1355332724585391E-2</v>
      </c>
      <c r="O28" s="86">
        <f t="shared" si="23"/>
        <v>3.8294417220985526E-2</v>
      </c>
      <c r="P28" s="86">
        <f t="shared" si="24"/>
        <v>6.4424411653886224E-2</v>
      </c>
      <c r="Q28" s="86">
        <f t="shared" si="25"/>
        <v>0</v>
      </c>
      <c r="R28" s="86">
        <f t="shared" si="26"/>
        <v>8.2540199121236852E-3</v>
      </c>
    </row>
    <row r="29" spans="2:33" ht="15" thickBot="1" x14ac:dyDescent="0.4">
      <c r="E29" s="22" t="s">
        <v>14</v>
      </c>
      <c r="F29" s="86">
        <f t="shared" si="27"/>
        <v>4.6894604974541371E-2</v>
      </c>
      <c r="G29" s="86">
        <f t="shared" si="15"/>
        <v>3.2145508030398506E-2</v>
      </c>
      <c r="H29" s="86">
        <f t="shared" si="16"/>
        <v>1.7330461106051565E-2</v>
      </c>
      <c r="I29" s="86">
        <f t="shared" si="17"/>
        <v>1.1080673265349361E-2</v>
      </c>
      <c r="J29" s="86">
        <f t="shared" si="18"/>
        <v>1.5944451694634085E-2</v>
      </c>
      <c r="K29" s="86">
        <f t="shared" si="19"/>
        <v>8.4380278234621478E-2</v>
      </c>
      <c r="L29" s="86">
        <f t="shared" si="20"/>
        <v>2.3776515675783292E-2</v>
      </c>
      <c r="M29" s="86">
        <f t="shared" si="21"/>
        <v>4.3529455176919363E-2</v>
      </c>
      <c r="N29" s="86">
        <f t="shared" si="22"/>
        <v>1.5897465814419549E-2</v>
      </c>
      <c r="O29" s="86">
        <f t="shared" si="23"/>
        <v>3.2823786189416164E-2</v>
      </c>
      <c r="P29" s="86">
        <f t="shared" si="24"/>
        <v>4.6017436895633014E-2</v>
      </c>
      <c r="Q29" s="86">
        <f t="shared" si="25"/>
        <v>2.1537098184526385E-2</v>
      </c>
      <c r="R29" s="86">
        <f>R11/SQRT(SUM($R$16:$R$20))*$C$16</f>
        <v>2.476205973637105E-2</v>
      </c>
    </row>
    <row r="30" spans="2:33" x14ac:dyDescent="0.35">
      <c r="E30" s="73" t="s">
        <v>125</v>
      </c>
      <c r="F30" s="87">
        <f>MIN(F24:F28)</f>
        <v>4.1684093310703434E-2</v>
      </c>
      <c r="G30" s="87">
        <f t="shared" ref="G30:H30" si="28">MIN(G24:G28)</f>
        <v>2.9350246462537768E-2</v>
      </c>
      <c r="H30" s="87">
        <f t="shared" si="28"/>
        <v>1.4179468177678555E-2</v>
      </c>
      <c r="I30" s="87">
        <f>MAX(I24:I28)</f>
        <v>1.3476494511911385E-2</v>
      </c>
      <c r="J30" s="87">
        <f t="shared" ref="J30:L30" si="29">MAX(J24:J28)</f>
        <v>2.2322232372487722E-2</v>
      </c>
      <c r="K30" s="87">
        <f t="shared" si="29"/>
        <v>8.4380278234621478E-2</v>
      </c>
      <c r="L30" s="87">
        <f t="shared" si="29"/>
        <v>3.3287121946096607E-2</v>
      </c>
      <c r="M30" s="87">
        <f>MIN(M24:M28)</f>
        <v>4.3529455176919363E-2</v>
      </c>
      <c r="N30" s="87">
        <f t="shared" ref="N30:P30" si="30">MAX(N24:N28)</f>
        <v>1.5897465814419549E-2</v>
      </c>
      <c r="O30" s="87">
        <f t="shared" si="30"/>
        <v>4.3765048252554888E-2</v>
      </c>
      <c r="P30" s="87">
        <f t="shared" si="30"/>
        <v>6.4424411653886224E-2</v>
      </c>
      <c r="Q30" s="87">
        <f>MIN(Q24:Q28)</f>
        <v>0</v>
      </c>
      <c r="R30" s="87">
        <f>MAX(R24:R28)</f>
        <v>4.1270099560618424E-2</v>
      </c>
    </row>
    <row r="31" spans="2:33" x14ac:dyDescent="0.35">
      <c r="E31" s="79" t="s">
        <v>124</v>
      </c>
      <c r="F31" s="87">
        <f>MAX(F25:F29)</f>
        <v>6.2526139966055161E-2</v>
      </c>
      <c r="G31" s="87">
        <f t="shared" ref="G31:H31" si="31">MAX(G25:G29)</f>
        <v>3.3543138814328875E-2</v>
      </c>
      <c r="H31" s="87">
        <f t="shared" si="31"/>
        <v>1.7330461106051565E-2</v>
      </c>
      <c r="I31" s="87">
        <f t="shared" ref="I31:R31" si="32">MIN(I25:I29)</f>
        <v>1.0481717953708856E-2</v>
      </c>
      <c r="J31" s="87">
        <f t="shared" si="32"/>
        <v>9.5666710167804508E-3</v>
      </c>
      <c r="K31" s="87">
        <f t="shared" si="32"/>
        <v>3.6162976386266345E-2</v>
      </c>
      <c r="L31" s="87">
        <f t="shared" si="32"/>
        <v>2.3776515675783292E-2</v>
      </c>
      <c r="M31" s="87">
        <f>MAX(M25:M29)</f>
        <v>8.7058910353838725E-2</v>
      </c>
      <c r="N31" s="87">
        <f t="shared" si="32"/>
        <v>6.8131996347512349E-3</v>
      </c>
      <c r="O31" s="87">
        <f t="shared" si="32"/>
        <v>2.7353155157846806E-2</v>
      </c>
      <c r="P31" s="87">
        <f t="shared" si="32"/>
        <v>4.6017436895633014E-2</v>
      </c>
      <c r="Q31" s="87">
        <f>MAX(Q25:Q29)</f>
        <v>5.3842745461315962E-2</v>
      </c>
      <c r="R31" s="87">
        <f t="shared" si="32"/>
        <v>8.2540199121236852E-3</v>
      </c>
    </row>
    <row r="32" spans="2:33" x14ac:dyDescent="0.35">
      <c r="E32" s="7"/>
      <c r="F32" s="74"/>
      <c r="G32" s="74"/>
      <c r="H32" s="74"/>
      <c r="I32" s="74"/>
      <c r="J32" s="74"/>
      <c r="K32" s="74"/>
      <c r="L32" s="74"/>
      <c r="M32" s="74"/>
      <c r="N32" s="74"/>
      <c r="O32" s="74"/>
      <c r="P32" s="74"/>
      <c r="Q32" s="74"/>
      <c r="R32" s="74"/>
    </row>
    <row r="33" spans="5:19" x14ac:dyDescent="0.35">
      <c r="E33" s="7" t="s">
        <v>132</v>
      </c>
      <c r="F33" s="43" t="s">
        <v>77</v>
      </c>
      <c r="G33" s="44" t="s">
        <v>77</v>
      </c>
      <c r="H33" s="45" t="s">
        <v>77</v>
      </c>
      <c r="I33" t="s">
        <v>78</v>
      </c>
      <c r="J33" t="s">
        <v>78</v>
      </c>
      <c r="K33" t="s">
        <v>78</v>
      </c>
      <c r="L33" t="s">
        <v>78</v>
      </c>
      <c r="M33" s="45" t="s">
        <v>77</v>
      </c>
      <c r="N33" t="s">
        <v>78</v>
      </c>
      <c r="O33" t="s">
        <v>78</v>
      </c>
      <c r="P33" t="s">
        <v>78</v>
      </c>
      <c r="Q33" s="45" t="s">
        <v>77</v>
      </c>
      <c r="R33" t="s">
        <v>78</v>
      </c>
    </row>
    <row r="34" spans="5:19" x14ac:dyDescent="0.35">
      <c r="E34" s="7" t="s">
        <v>133</v>
      </c>
      <c r="F34" s="74" t="s">
        <v>78</v>
      </c>
      <c r="G34" t="s">
        <v>78</v>
      </c>
      <c r="H34" t="s">
        <v>78</v>
      </c>
      <c r="I34" s="45" t="s">
        <v>77</v>
      </c>
      <c r="J34" s="45" t="s">
        <v>77</v>
      </c>
      <c r="K34" s="45" t="s">
        <v>77</v>
      </c>
      <c r="L34" s="45" t="s">
        <v>77</v>
      </c>
      <c r="M34" t="s">
        <v>78</v>
      </c>
      <c r="N34" s="45" t="s">
        <v>77</v>
      </c>
      <c r="O34" s="45" t="s">
        <v>77</v>
      </c>
      <c r="P34" s="45" t="s">
        <v>77</v>
      </c>
      <c r="Q34" t="s">
        <v>78</v>
      </c>
      <c r="R34" s="45" t="s">
        <v>77</v>
      </c>
    </row>
    <row r="35" spans="5:19" x14ac:dyDescent="0.35">
      <c r="E35" s="7"/>
      <c r="F35" s="74"/>
      <c r="G35" s="74"/>
      <c r="H35" s="74"/>
      <c r="I35" s="74"/>
      <c r="J35" s="74"/>
      <c r="K35" s="74"/>
      <c r="L35" s="74"/>
      <c r="M35" s="74"/>
      <c r="N35" s="74"/>
      <c r="O35" s="74"/>
      <c r="P35" s="74"/>
      <c r="Q35" s="74"/>
      <c r="R35" s="74"/>
    </row>
    <row r="36" spans="5:19" x14ac:dyDescent="0.35">
      <c r="E36" s="7"/>
      <c r="F36" s="74"/>
      <c r="G36" s="74"/>
      <c r="H36" s="74"/>
      <c r="I36" s="74"/>
      <c r="J36" s="74"/>
      <c r="K36" s="74"/>
      <c r="L36" s="74"/>
      <c r="M36" s="74"/>
      <c r="N36" s="74"/>
      <c r="O36" s="74"/>
      <c r="P36" s="74"/>
      <c r="Q36" s="74"/>
      <c r="R36" s="74"/>
      <c r="S36" s="74"/>
    </row>
    <row r="37" spans="5:19" ht="15" thickBot="1" x14ac:dyDescent="0.4">
      <c r="E37" s="113" t="s">
        <v>130</v>
      </c>
      <c r="F37" s="113"/>
      <c r="G37" s="113"/>
      <c r="H37" s="113"/>
      <c r="I37" s="113"/>
      <c r="J37" s="113"/>
      <c r="K37" s="113"/>
      <c r="L37" s="113"/>
      <c r="M37" s="113"/>
      <c r="N37" s="113"/>
      <c r="O37" s="113"/>
      <c r="P37" s="113"/>
      <c r="Q37" s="113"/>
      <c r="R37" s="114"/>
      <c r="S37" s="78"/>
    </row>
    <row r="38" spans="5:19" x14ac:dyDescent="0.35">
      <c r="E38" s="49" t="s">
        <v>9</v>
      </c>
      <c r="F38" s="93" t="s">
        <v>23</v>
      </c>
      <c r="G38" s="94"/>
      <c r="H38" s="94"/>
      <c r="I38" s="96"/>
      <c r="J38" s="93" t="s">
        <v>24</v>
      </c>
      <c r="K38" s="94"/>
      <c r="L38" s="95"/>
      <c r="M38" s="93" t="s">
        <v>25</v>
      </c>
      <c r="N38" s="94"/>
      <c r="O38" s="95"/>
      <c r="P38" s="93" t="s">
        <v>26</v>
      </c>
      <c r="Q38" s="94"/>
      <c r="R38" s="96"/>
      <c r="S38" s="115" t="s">
        <v>126</v>
      </c>
    </row>
    <row r="39" spans="5:19" x14ac:dyDescent="0.35">
      <c r="E39" s="50"/>
      <c r="F39" s="51" t="s">
        <v>21</v>
      </c>
      <c r="G39" s="48" t="s">
        <v>22</v>
      </c>
      <c r="H39" s="48" t="s">
        <v>19</v>
      </c>
      <c r="I39" s="52" t="s">
        <v>20</v>
      </c>
      <c r="J39" s="51" t="s">
        <v>27</v>
      </c>
      <c r="K39" s="48" t="s">
        <v>32</v>
      </c>
      <c r="L39" s="53" t="s">
        <v>42</v>
      </c>
      <c r="M39" s="54" t="s">
        <v>28</v>
      </c>
      <c r="N39" s="48" t="s">
        <v>29</v>
      </c>
      <c r="O39" s="53" t="s">
        <v>43</v>
      </c>
      <c r="P39" s="51" t="s">
        <v>30</v>
      </c>
      <c r="Q39" s="48" t="s">
        <v>31</v>
      </c>
      <c r="R39" s="52" t="s">
        <v>40</v>
      </c>
      <c r="S39" s="116"/>
    </row>
    <row r="40" spans="5:19" x14ac:dyDescent="0.35">
      <c r="E40" s="21" t="s">
        <v>10</v>
      </c>
      <c r="F40" s="86">
        <f>($F$30-F25)^2</f>
        <v>1.0859772719596446E-4</v>
      </c>
      <c r="G40" s="86">
        <f t="shared" ref="G40" si="33">($G$30-G25)^2</f>
        <v>4.3950865684271046E-6</v>
      </c>
      <c r="H40" s="86">
        <f t="shared" ref="H40" si="34">($H$30-H25)^2</f>
        <v>0</v>
      </c>
      <c r="I40" s="86">
        <f t="shared" ref="I40" si="35">($I$30-I25)^2</f>
        <v>8.9686866335593834E-6</v>
      </c>
      <c r="J40" s="86">
        <f t="shared" ref="J40" si="36">($J$30-J25)^2</f>
        <v>0</v>
      </c>
      <c r="K40" s="86">
        <f t="shared" ref="K40" si="37">($K$30-K25)^2</f>
        <v>2.3249081975353914E-3</v>
      </c>
      <c r="L40" s="86">
        <f t="shared" ref="L40" si="38">($L$30-L25)^2</f>
        <v>0</v>
      </c>
      <c r="M40" s="86">
        <f t="shared" ref="M40" si="39">($M$30-M25)^2</f>
        <v>1.8948134679994319E-3</v>
      </c>
      <c r="N40" s="86">
        <f t="shared" ref="N40" si="40">($N$30-N25)^2</f>
        <v>2.0630973005766393E-5</v>
      </c>
      <c r="O40" s="86">
        <f t="shared" ref="O40" si="41">($O$30-O25)^2</f>
        <v>0</v>
      </c>
      <c r="P40" s="86">
        <f t="shared" ref="P40" si="42">($P$30-P25)^2</f>
        <v>8.470417993774276E-5</v>
      </c>
      <c r="Q40" s="86">
        <f t="shared" ref="Q40" si="43">($Q$30-Q25)^2</f>
        <v>4.6384659820992969E-4</v>
      </c>
      <c r="R40" s="86">
        <f t="shared" ref="R40" si="44">($R$30-R25)^2</f>
        <v>1.0900615153557486E-3</v>
      </c>
      <c r="S40" s="68">
        <f>SQRT(SUM(F40:R40))</f>
        <v>7.7465646789024886E-2</v>
      </c>
    </row>
    <row r="41" spans="5:19" x14ac:dyDescent="0.35">
      <c r="E41" s="21" t="s">
        <v>11</v>
      </c>
      <c r="F41" s="86">
        <f t="shared" ref="F41:F44" si="45">($F$30-F26)^2</f>
        <v>4.3439090878385811E-4</v>
      </c>
      <c r="G41" s="86">
        <f>($G$30-G26)^2</f>
        <v>0</v>
      </c>
      <c r="H41" s="86">
        <f>($H$30-H26)^2</f>
        <v>2.4821891086641827E-6</v>
      </c>
      <c r="I41" s="86">
        <f>($I$30-I26)^2</f>
        <v>2.2421716583898433E-6</v>
      </c>
      <c r="J41" s="86">
        <f>($J$30-J26)^2</f>
        <v>1.6270434549921271E-4</v>
      </c>
      <c r="K41" s="86">
        <f>($K$30-K26)^2</f>
        <v>5.8122704938384838E-4</v>
      </c>
      <c r="L41" s="86">
        <f>($L$30-L26)^2</f>
        <v>9.0451631628922944E-5</v>
      </c>
      <c r="M41" s="86">
        <f>($M$30-M26)^2</f>
        <v>0</v>
      </c>
      <c r="N41" s="86">
        <f>($N$30-N26)^2</f>
        <v>8.2523892023065543E-5</v>
      </c>
      <c r="O41" s="86">
        <f>($O$30-O26)^2</f>
        <v>2.6935023495212683E-4</v>
      </c>
      <c r="P41" s="86">
        <f>($P$30-P26)^2</f>
        <v>3.3881671975097082E-4</v>
      </c>
      <c r="Q41" s="86">
        <f>($Q$30-Q26)^2</f>
        <v>2.8990412388120606E-3</v>
      </c>
      <c r="R41" s="86">
        <f>($R$30-R26)^2</f>
        <v>2.7251537883893725E-4</v>
      </c>
      <c r="S41" s="68">
        <f t="shared" ref="S41:S44" si="46">SQRT(SUM(F41:R41))</f>
        <v>7.1664117663165688E-2</v>
      </c>
    </row>
    <row r="42" spans="5:19" x14ac:dyDescent="0.35">
      <c r="E42" s="21" t="s">
        <v>12</v>
      </c>
      <c r="F42" s="86">
        <f t="shared" si="45"/>
        <v>0</v>
      </c>
      <c r="G42" s="86">
        <f t="shared" ref="G42:G44" si="47">($G$30-G27)^2</f>
        <v>1.7580346273708357E-5</v>
      </c>
      <c r="H42" s="86">
        <f t="shared" ref="H42:H44" si="48">($H$30-H27)^2</f>
        <v>2.4821891086641827E-6</v>
      </c>
      <c r="I42" s="86">
        <f t="shared" ref="I42:I44" si="49">($I$30-I27)^2</f>
        <v>4.3946564504440983E-6</v>
      </c>
      <c r="J42" s="86">
        <f t="shared" ref="J42:J44" si="50">($J$30-J27)^2</f>
        <v>4.0676086374803199E-5</v>
      </c>
      <c r="K42" s="86">
        <f t="shared" ref="K42:K44" si="51">($K$30-K27)^2</f>
        <v>5.8122704938384838E-4</v>
      </c>
      <c r="L42" s="86">
        <f t="shared" ref="L42:L44" si="52">($L$30-L27)^2</f>
        <v>2.2612907907230749E-5</v>
      </c>
      <c r="M42" s="86">
        <f t="shared" ref="M42:M44" si="53">($M$30-M27)^2</f>
        <v>0</v>
      </c>
      <c r="N42" s="86">
        <f t="shared" ref="N42:N44" si="54">($N$30-N27)^2</f>
        <v>0</v>
      </c>
      <c r="O42" s="86">
        <f t="shared" ref="O42:O44" si="55">($O$30-O27)^2</f>
        <v>2.6935023495212683E-4</v>
      </c>
      <c r="P42" s="86">
        <f t="shared" ref="P42:P44" si="56">($P$30-P27)^2</f>
        <v>0</v>
      </c>
      <c r="Q42" s="86">
        <f t="shared" ref="Q42:Q44" si="57">($Q$30-Q27)^2</f>
        <v>1.0436548459723419E-3</v>
      </c>
      <c r="R42" s="86">
        <f t="shared" ref="R42:R44" si="58">($R$30-R27)^2</f>
        <v>0</v>
      </c>
      <c r="S42" s="68">
        <f t="shared" si="46"/>
        <v>4.4519415050325715E-2</v>
      </c>
    </row>
    <row r="43" spans="5:19" x14ac:dyDescent="0.35">
      <c r="E43" s="21" t="s">
        <v>13</v>
      </c>
      <c r="F43" s="86">
        <f t="shared" si="45"/>
        <v>2.4434488619092025E-4</v>
      </c>
      <c r="G43" s="86">
        <f t="shared" si="47"/>
        <v>4.8834295204745439E-7</v>
      </c>
      <c r="H43" s="86">
        <f t="shared" si="48"/>
        <v>9.9287564346567189E-6</v>
      </c>
      <c r="I43" s="86">
        <f t="shared" si="49"/>
        <v>0</v>
      </c>
      <c r="J43" s="86">
        <f t="shared" si="50"/>
        <v>4.0676086374803199E-5</v>
      </c>
      <c r="K43" s="86">
        <f t="shared" si="51"/>
        <v>0</v>
      </c>
      <c r="L43" s="86">
        <f t="shared" si="52"/>
        <v>2.2612907907230749E-5</v>
      </c>
      <c r="M43" s="86">
        <f t="shared" si="53"/>
        <v>1.8948134679994319E-3</v>
      </c>
      <c r="N43" s="86">
        <f t="shared" si="54"/>
        <v>2.0630973005766393E-5</v>
      </c>
      <c r="O43" s="86">
        <f t="shared" si="55"/>
        <v>2.9927803883569659E-5</v>
      </c>
      <c r="P43" s="86">
        <f t="shared" si="56"/>
        <v>0</v>
      </c>
      <c r="Q43" s="86">
        <f t="shared" si="57"/>
        <v>0</v>
      </c>
      <c r="R43" s="86">
        <f t="shared" si="58"/>
        <v>1.0900615153557486E-3</v>
      </c>
      <c r="S43" s="68">
        <f t="shared" si="46"/>
        <v>5.7909280258903024E-2</v>
      </c>
    </row>
    <row r="44" spans="5:19" x14ac:dyDescent="0.35">
      <c r="E44" s="67" t="s">
        <v>14</v>
      </c>
      <c r="F44" s="86">
        <f t="shared" si="45"/>
        <v>2.7149431798991186E-5</v>
      </c>
      <c r="G44" s="86">
        <f t="shared" si="47"/>
        <v>7.8134872327592703E-6</v>
      </c>
      <c r="H44" s="86">
        <f t="shared" si="48"/>
        <v>9.9287564346567189E-6</v>
      </c>
      <c r="I44" s="86">
        <f t="shared" si="49"/>
        <v>5.7399594454780089E-6</v>
      </c>
      <c r="J44" s="86">
        <f t="shared" si="50"/>
        <v>4.0676086374803199E-5</v>
      </c>
      <c r="K44" s="86">
        <f t="shared" si="51"/>
        <v>0</v>
      </c>
      <c r="L44" s="86">
        <f t="shared" si="52"/>
        <v>9.0451631628922944E-5</v>
      </c>
      <c r="M44" s="86">
        <f t="shared" si="53"/>
        <v>0</v>
      </c>
      <c r="N44" s="86">
        <f t="shared" si="54"/>
        <v>0</v>
      </c>
      <c r="O44" s="86">
        <f t="shared" si="55"/>
        <v>1.1971121553427864E-4</v>
      </c>
      <c r="P44" s="86">
        <f t="shared" si="56"/>
        <v>3.3881671975097082E-4</v>
      </c>
      <c r="Q44" s="86">
        <f t="shared" si="57"/>
        <v>4.6384659820992969E-4</v>
      </c>
      <c r="R44" s="86">
        <f t="shared" si="58"/>
        <v>2.7251537883893725E-4</v>
      </c>
      <c r="S44" s="68">
        <f t="shared" si="46"/>
        <v>3.7103224458929815E-2</v>
      </c>
    </row>
    <row r="46" spans="5:19" ht="15" thickBot="1" x14ac:dyDescent="0.4">
      <c r="E46" s="113" t="s">
        <v>131</v>
      </c>
      <c r="F46" s="113"/>
      <c r="G46" s="113"/>
      <c r="H46" s="113"/>
      <c r="I46" s="113"/>
      <c r="J46" s="113"/>
      <c r="K46" s="113"/>
      <c r="L46" s="113"/>
      <c r="M46" s="113"/>
      <c r="N46" s="113"/>
      <c r="O46" s="113"/>
      <c r="P46" s="113"/>
      <c r="Q46" s="113"/>
      <c r="R46" s="114"/>
    </row>
    <row r="47" spans="5:19" x14ac:dyDescent="0.35">
      <c r="E47" s="49" t="s">
        <v>9</v>
      </c>
      <c r="F47" s="93" t="s">
        <v>23</v>
      </c>
      <c r="G47" s="94"/>
      <c r="H47" s="94"/>
      <c r="I47" s="96"/>
      <c r="J47" s="93" t="s">
        <v>24</v>
      </c>
      <c r="K47" s="94"/>
      <c r="L47" s="95"/>
      <c r="M47" s="93" t="s">
        <v>25</v>
      </c>
      <c r="N47" s="94"/>
      <c r="O47" s="95"/>
      <c r="P47" s="93" t="s">
        <v>26</v>
      </c>
      <c r="Q47" s="94"/>
      <c r="R47" s="96"/>
      <c r="S47" s="115" t="s">
        <v>127</v>
      </c>
    </row>
    <row r="48" spans="5:19" x14ac:dyDescent="0.35">
      <c r="E48" s="50"/>
      <c r="F48" s="51" t="s">
        <v>21</v>
      </c>
      <c r="G48" s="48" t="s">
        <v>22</v>
      </c>
      <c r="H48" s="48" t="s">
        <v>19</v>
      </c>
      <c r="I48" s="52" t="s">
        <v>20</v>
      </c>
      <c r="J48" s="51" t="s">
        <v>27</v>
      </c>
      <c r="K48" s="48" t="s">
        <v>32</v>
      </c>
      <c r="L48" s="53" t="s">
        <v>42</v>
      </c>
      <c r="M48" s="54" t="s">
        <v>28</v>
      </c>
      <c r="N48" s="48" t="s">
        <v>29</v>
      </c>
      <c r="O48" s="53" t="s">
        <v>43</v>
      </c>
      <c r="P48" s="51" t="s">
        <v>30</v>
      </c>
      <c r="Q48" s="48" t="s">
        <v>31</v>
      </c>
      <c r="R48" s="52" t="s">
        <v>40</v>
      </c>
      <c r="S48" s="116"/>
    </row>
    <row r="49" spans="5:19" x14ac:dyDescent="0.35">
      <c r="E49" s="21" t="s">
        <v>10</v>
      </c>
      <c r="F49" s="86">
        <f>(F25-$F$31)^2</f>
        <v>1.0859772719596461E-4</v>
      </c>
      <c r="G49" s="86">
        <f>(G25-$G$31)^2</f>
        <v>4.3950865684270749E-6</v>
      </c>
      <c r="H49" s="86">
        <f>(H25-$H$31)^2</f>
        <v>9.9287564346567189E-6</v>
      </c>
      <c r="I49" s="86">
        <f>(I25-$I$31)^2</f>
        <v>0</v>
      </c>
      <c r="J49" s="86">
        <f>(J25-$J$31)^2</f>
        <v>1.6270434549921271E-4</v>
      </c>
      <c r="K49" s="86">
        <f>(K25-$K$31)^2</f>
        <v>0</v>
      </c>
      <c r="L49" s="86">
        <f>(L25-$L$31)^2</f>
        <v>9.0451631628922944E-5</v>
      </c>
      <c r="M49" s="86">
        <f>(M25-$M$31)^2</f>
        <v>0</v>
      </c>
      <c r="N49" s="86">
        <f>(N25-$N$31)^2</f>
        <v>2.0630973005766376E-5</v>
      </c>
      <c r="O49" s="86">
        <f>(O25-$O$31)^2</f>
        <v>2.6935023495212683E-4</v>
      </c>
      <c r="P49" s="86">
        <f>(P25-$P$31)^2</f>
        <v>8.4704179937742638E-5</v>
      </c>
      <c r="Q49" s="86">
        <f>(Q25-$Q$31)^2</f>
        <v>1.0436548459723419E-3</v>
      </c>
      <c r="R49" s="86">
        <f>(R25-$R$31)^2</f>
        <v>0</v>
      </c>
      <c r="S49" s="65">
        <f>SQRT(SUM(F49:R49))</f>
        <v>4.2360568707173446E-2</v>
      </c>
    </row>
    <row r="50" spans="5:19" x14ac:dyDescent="0.35">
      <c r="E50" s="21" t="s">
        <v>11</v>
      </c>
      <c r="F50" s="86">
        <f t="shared" ref="F50:F53" si="59">(F26-$F$31)^2</f>
        <v>0</v>
      </c>
      <c r="G50" s="86">
        <f t="shared" ref="G50:G53" si="60">(G26-$G$31)^2</f>
        <v>1.7580346273708357E-5</v>
      </c>
      <c r="H50" s="86">
        <f t="shared" ref="H50:H53" si="61">(H26-$H$31)^2</f>
        <v>2.4821891086641772E-6</v>
      </c>
      <c r="I50" s="86">
        <f t="shared" ref="I50:I53" si="62">(I26-$I$31)^2</f>
        <v>2.2421716583898484E-6</v>
      </c>
      <c r="J50" s="86">
        <f t="shared" ref="J50:J53" si="63">(J26-$J$31)^2</f>
        <v>0</v>
      </c>
      <c r="K50" s="86">
        <f t="shared" ref="K50:K53" si="64">(K26-$K$31)^2</f>
        <v>5.812270493838473E-4</v>
      </c>
      <c r="L50" s="86">
        <f t="shared" ref="L50:L53" si="65">(L26-$L$31)^2</f>
        <v>0</v>
      </c>
      <c r="M50" s="86">
        <f t="shared" ref="M50:M53" si="66">(M26-$M$31)^2</f>
        <v>1.8948134679994319E-3</v>
      </c>
      <c r="N50" s="86">
        <f t="shared" ref="N50:N53" si="67">(N26-$N$31)^2</f>
        <v>0</v>
      </c>
      <c r="O50" s="86">
        <f t="shared" ref="O50:O53" si="68">(O26-$O$31)^2</f>
        <v>0</v>
      </c>
      <c r="P50" s="86">
        <f t="shared" ref="P50:P53" si="69">(P26-$P$31)^2</f>
        <v>0</v>
      </c>
      <c r="Q50" s="86">
        <f t="shared" ref="Q50:Q53" si="70">(Q26-$Q$31)^2</f>
        <v>0</v>
      </c>
      <c r="R50" s="86">
        <f t="shared" ref="R50:R53" si="71">(R26-$R$31)^2</f>
        <v>2.7251537883893703E-4</v>
      </c>
      <c r="S50" s="65">
        <f t="shared" ref="S50:S53" si="72">SQRT(SUM(F50:R50))</f>
        <v>5.2638964686465659E-2</v>
      </c>
    </row>
    <row r="51" spans="5:19" x14ac:dyDescent="0.35">
      <c r="E51" s="21" t="s">
        <v>12</v>
      </c>
      <c r="F51" s="86">
        <f t="shared" si="59"/>
        <v>4.3439090878385811E-4</v>
      </c>
      <c r="G51" s="86">
        <f t="shared" si="60"/>
        <v>0</v>
      </c>
      <c r="H51" s="86">
        <f t="shared" si="61"/>
        <v>2.4821891086641772E-6</v>
      </c>
      <c r="I51" s="86">
        <f t="shared" si="62"/>
        <v>8.0718179702034426E-7</v>
      </c>
      <c r="J51" s="86">
        <f t="shared" si="63"/>
        <v>4.0676086374803158E-5</v>
      </c>
      <c r="K51" s="86">
        <f t="shared" si="64"/>
        <v>5.812270493838473E-4</v>
      </c>
      <c r="L51" s="86">
        <f t="shared" si="65"/>
        <v>2.2612907907230719E-5</v>
      </c>
      <c r="M51" s="86">
        <f t="shared" si="66"/>
        <v>1.8948134679994319E-3</v>
      </c>
      <c r="N51" s="86">
        <f t="shared" si="67"/>
        <v>8.2523892023065543E-5</v>
      </c>
      <c r="O51" s="86">
        <f t="shared" si="68"/>
        <v>0</v>
      </c>
      <c r="P51" s="86">
        <f t="shared" si="69"/>
        <v>3.3881671975097082E-4</v>
      </c>
      <c r="Q51" s="86">
        <f t="shared" si="70"/>
        <v>4.6384659820992969E-4</v>
      </c>
      <c r="R51" s="86">
        <f t="shared" si="71"/>
        <v>1.0900615153557486E-3</v>
      </c>
      <c r="S51" s="65">
        <f t="shared" si="72"/>
        <v>7.0372285146175051E-2</v>
      </c>
    </row>
    <row r="52" spans="5:19" x14ac:dyDescent="0.35">
      <c r="E52" s="21" t="s">
        <v>13</v>
      </c>
      <c r="F52" s="86">
        <f t="shared" si="59"/>
        <v>2.7149431798991115E-5</v>
      </c>
      <c r="G52" s="86">
        <f t="shared" si="60"/>
        <v>1.220857380118636E-5</v>
      </c>
      <c r="H52" s="86">
        <f t="shared" si="61"/>
        <v>0</v>
      </c>
      <c r="I52" s="86">
        <f t="shared" si="62"/>
        <v>8.9686866335593834E-6</v>
      </c>
      <c r="J52" s="86">
        <f t="shared" si="63"/>
        <v>4.0676086374803158E-5</v>
      </c>
      <c r="K52" s="86">
        <f t="shared" si="64"/>
        <v>2.3249081975353914E-3</v>
      </c>
      <c r="L52" s="86">
        <f t="shared" si="65"/>
        <v>2.2612907907230719E-5</v>
      </c>
      <c r="M52" s="86">
        <f t="shared" si="66"/>
        <v>0</v>
      </c>
      <c r="N52" s="86">
        <f t="shared" si="67"/>
        <v>2.0630973005766376E-5</v>
      </c>
      <c r="O52" s="86">
        <f t="shared" si="68"/>
        <v>1.1971121553427857E-4</v>
      </c>
      <c r="P52" s="86">
        <f t="shared" si="69"/>
        <v>3.3881671975097082E-4</v>
      </c>
      <c r="Q52" s="86">
        <f t="shared" si="70"/>
        <v>2.8990412388120606E-3</v>
      </c>
      <c r="R52" s="86">
        <f t="shared" si="71"/>
        <v>0</v>
      </c>
      <c r="S52" s="65">
        <f t="shared" si="72"/>
        <v>7.6254337785821982E-2</v>
      </c>
    </row>
    <row r="53" spans="5:19" x14ac:dyDescent="0.35">
      <c r="E53" s="67" t="s">
        <v>14</v>
      </c>
      <c r="F53" s="86">
        <f t="shared" si="59"/>
        <v>2.4434488619092003E-4</v>
      </c>
      <c r="G53" s="86">
        <f t="shared" si="60"/>
        <v>1.9533718081898176E-6</v>
      </c>
      <c r="H53" s="86">
        <f t="shared" si="61"/>
        <v>0</v>
      </c>
      <c r="I53" s="86">
        <f t="shared" si="62"/>
        <v>3.587474653423745E-7</v>
      </c>
      <c r="J53" s="86">
        <f t="shared" si="63"/>
        <v>4.0676086374803158E-5</v>
      </c>
      <c r="K53" s="86">
        <f t="shared" si="64"/>
        <v>2.3249081975353914E-3</v>
      </c>
      <c r="L53" s="86">
        <f t="shared" si="65"/>
        <v>0</v>
      </c>
      <c r="M53" s="86">
        <f t="shared" si="66"/>
        <v>1.8948134679994319E-3</v>
      </c>
      <c r="N53" s="86">
        <f t="shared" si="67"/>
        <v>8.2523892023065543E-5</v>
      </c>
      <c r="O53" s="86">
        <f t="shared" si="68"/>
        <v>2.9927803883569622E-5</v>
      </c>
      <c r="P53" s="86">
        <f t="shared" si="69"/>
        <v>0</v>
      </c>
      <c r="Q53" s="86">
        <f t="shared" si="70"/>
        <v>1.0436548459723419E-3</v>
      </c>
      <c r="R53" s="86">
        <f t="shared" si="71"/>
        <v>2.7251537883893703E-4</v>
      </c>
      <c r="S53" s="65">
        <f t="shared" si="72"/>
        <v>7.7043342853824776E-2</v>
      </c>
    </row>
    <row r="54" spans="5:19" x14ac:dyDescent="0.35">
      <c r="E54" s="7"/>
      <c r="F54" s="66"/>
      <c r="G54" s="66"/>
      <c r="H54" s="66"/>
      <c r="I54" s="66"/>
      <c r="J54" s="66"/>
      <c r="K54" s="66"/>
      <c r="L54" s="66"/>
      <c r="M54" s="66"/>
      <c r="N54" s="66"/>
      <c r="O54" s="66"/>
      <c r="P54" s="66"/>
      <c r="Q54" s="66"/>
      <c r="R54" s="66"/>
      <c r="S54" s="74"/>
    </row>
    <row r="56" spans="5:19" x14ac:dyDescent="0.35">
      <c r="L56" s="99" t="s">
        <v>118</v>
      </c>
      <c r="M56" s="99"/>
      <c r="N56" s="99"/>
      <c r="O56" s="92" t="s">
        <v>121</v>
      </c>
      <c r="P56" s="92"/>
    </row>
    <row r="57" spans="5:19" ht="14.5" customHeight="1" x14ac:dyDescent="0.35">
      <c r="L57" s="13" t="s">
        <v>117</v>
      </c>
      <c r="M57" s="13" t="s">
        <v>135</v>
      </c>
      <c r="N57" s="13" t="s">
        <v>120</v>
      </c>
      <c r="O57" s="117" t="s">
        <v>134</v>
      </c>
      <c r="P57" s="117"/>
    </row>
    <row r="58" spans="5:19" x14ac:dyDescent="0.35">
      <c r="L58" s="13" t="s">
        <v>10</v>
      </c>
      <c r="M58" s="89">
        <f>S49/(S40+S49)</f>
        <v>0.35351670360078591</v>
      </c>
      <c r="N58" s="13"/>
      <c r="O58" s="117"/>
      <c r="P58" s="117"/>
    </row>
    <row r="59" spans="5:19" x14ac:dyDescent="0.35">
      <c r="L59" s="13" t="s">
        <v>11</v>
      </c>
      <c r="M59" s="89">
        <f>S50/(S41+S50)</f>
        <v>0.4234727224092989</v>
      </c>
      <c r="N59" s="13"/>
      <c r="O59" s="117"/>
      <c r="P59" s="117"/>
    </row>
    <row r="60" spans="5:19" x14ac:dyDescent="0.35">
      <c r="L60" s="13" t="s">
        <v>12</v>
      </c>
      <c r="M60" s="89">
        <f t="shared" ref="M60:M62" si="73">S51/(S42+S51)</f>
        <v>0.6125097376556915</v>
      </c>
      <c r="N60" s="13"/>
      <c r="O60" s="117"/>
      <c r="P60" s="117"/>
    </row>
    <row r="61" spans="5:19" x14ac:dyDescent="0.35">
      <c r="L61" s="13" t="s">
        <v>13</v>
      </c>
      <c r="M61" s="89">
        <f t="shared" si="73"/>
        <v>0.56836822752053173</v>
      </c>
      <c r="N61" s="13"/>
      <c r="O61" s="117"/>
      <c r="P61" s="117"/>
    </row>
    <row r="62" spans="5:19" x14ac:dyDescent="0.35">
      <c r="L62" s="81" t="s">
        <v>14</v>
      </c>
      <c r="M62" s="90">
        <f t="shared" si="73"/>
        <v>0.67495102715380606</v>
      </c>
      <c r="N62" s="13">
        <v>1</v>
      </c>
      <c r="O62" s="117"/>
      <c r="P62" s="117"/>
    </row>
    <row r="69" ht="14.5" customHeight="1" x14ac:dyDescent="0.35"/>
  </sheetData>
  <mergeCells count="40">
    <mergeCell ref="T15:AG15"/>
    <mergeCell ref="U16:X16"/>
    <mergeCell ref="Y16:AA16"/>
    <mergeCell ref="AB16:AD16"/>
    <mergeCell ref="AE16:AG16"/>
    <mergeCell ref="O57:P62"/>
    <mergeCell ref="F47:I47"/>
    <mergeCell ref="J47:L47"/>
    <mergeCell ref="M47:O47"/>
    <mergeCell ref="P47:R47"/>
    <mergeCell ref="S47:S48"/>
    <mergeCell ref="L56:N56"/>
    <mergeCell ref="O56:P56"/>
    <mergeCell ref="F38:I38"/>
    <mergeCell ref="J38:L38"/>
    <mergeCell ref="M38:O38"/>
    <mergeCell ref="P38:R38"/>
    <mergeCell ref="S38:S39"/>
    <mergeCell ref="E46:R46"/>
    <mergeCell ref="E37:R37"/>
    <mergeCell ref="A8:A10"/>
    <mergeCell ref="A11:A13"/>
    <mergeCell ref="E13:R13"/>
    <mergeCell ref="A14:A16"/>
    <mergeCell ref="F14:I14"/>
    <mergeCell ref="J14:L14"/>
    <mergeCell ref="M14:O14"/>
    <mergeCell ref="P14:R14"/>
    <mergeCell ref="E22:R22"/>
    <mergeCell ref="F23:I23"/>
    <mergeCell ref="J23:L23"/>
    <mergeCell ref="M23:O23"/>
    <mergeCell ref="P23:R23"/>
    <mergeCell ref="E3:R3"/>
    <mergeCell ref="A4:A7"/>
    <mergeCell ref="E4:E6"/>
    <mergeCell ref="F4:I4"/>
    <mergeCell ref="J4:L4"/>
    <mergeCell ref="M4:O4"/>
    <mergeCell ref="P4:R4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211C8D-1CE1-4563-8E9D-4B65EA215F75}">
  <dimension ref="B1:F6"/>
  <sheetViews>
    <sheetView workbookViewId="0">
      <selection activeCell="D15" sqref="D15"/>
    </sheetView>
  </sheetViews>
  <sheetFormatPr defaultRowHeight="14.5" x14ac:dyDescent="0.35"/>
  <cols>
    <col min="2" max="2" width="10.7265625" customWidth="1"/>
    <col min="3" max="3" width="12.36328125" customWidth="1"/>
    <col min="4" max="4" width="39.7265625" customWidth="1"/>
    <col min="5" max="5" width="33.453125" hidden="1" customWidth="1"/>
    <col min="6" max="6" width="30.36328125" customWidth="1"/>
  </cols>
  <sheetData>
    <row r="1" spans="2:6" x14ac:dyDescent="0.35">
      <c r="B1" t="s">
        <v>75</v>
      </c>
    </row>
    <row r="3" spans="2:6" x14ac:dyDescent="0.35">
      <c r="B3" s="11" t="s">
        <v>2</v>
      </c>
      <c r="C3" s="11" t="s">
        <v>16</v>
      </c>
      <c r="D3" s="11" t="s">
        <v>17</v>
      </c>
      <c r="E3" s="11" t="s">
        <v>0</v>
      </c>
      <c r="F3" s="11" t="s">
        <v>18</v>
      </c>
    </row>
    <row r="4" spans="2:6" x14ac:dyDescent="0.35">
      <c r="B4" s="6" t="s">
        <v>1</v>
      </c>
      <c r="C4" s="6" t="s">
        <v>68</v>
      </c>
      <c r="D4" s="6" t="s">
        <v>45</v>
      </c>
      <c r="E4" s="6" t="s">
        <v>5</v>
      </c>
      <c r="F4" s="12" t="s">
        <v>69</v>
      </c>
    </row>
    <row r="5" spans="2:6" x14ac:dyDescent="0.35">
      <c r="B5" s="6" t="s">
        <v>3</v>
      </c>
      <c r="C5" s="6" t="s">
        <v>68</v>
      </c>
      <c r="D5" s="6" t="s">
        <v>15</v>
      </c>
      <c r="E5" s="6" t="s">
        <v>6</v>
      </c>
      <c r="F5" s="12" t="s">
        <v>69</v>
      </c>
    </row>
    <row r="6" spans="2:6" x14ac:dyDescent="0.35">
      <c r="B6" s="6" t="s">
        <v>4</v>
      </c>
      <c r="C6" s="6" t="s">
        <v>67</v>
      </c>
      <c r="D6" s="6" t="s">
        <v>8</v>
      </c>
      <c r="E6" s="6" t="s">
        <v>7</v>
      </c>
      <c r="F6" s="6" t="s">
        <v>70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10</vt:i4>
      </vt:variant>
    </vt:vector>
  </HeadingPairs>
  <TitlesOfParts>
    <vt:vector size="10" baseType="lpstr">
      <vt:lpstr>Kuesioner Expert 3</vt:lpstr>
      <vt:lpstr>Kuesioner Expert 2</vt:lpstr>
      <vt:lpstr>Kuesioner Expert 1</vt:lpstr>
      <vt:lpstr>Supplier Info</vt:lpstr>
      <vt:lpstr>AHP</vt:lpstr>
      <vt:lpstr>AHP edit</vt:lpstr>
      <vt:lpstr>AHP-Topsis Mas Yandi</vt:lpstr>
      <vt:lpstr>AHP-Topsis cek</vt:lpstr>
      <vt:lpstr>AHP-Topsis cek tugas</vt:lpstr>
      <vt:lpstr>Detail Expert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dicky fitriyandi</dc:creator>
  <cp:lastModifiedBy>Juli Yandi Rahman</cp:lastModifiedBy>
  <dcterms:created xsi:type="dcterms:W3CDTF">2023-08-05T10:04:50Z</dcterms:created>
  <dcterms:modified xsi:type="dcterms:W3CDTF">2023-12-05T07:09:39Z</dcterms:modified>
</cp:coreProperties>
</file>